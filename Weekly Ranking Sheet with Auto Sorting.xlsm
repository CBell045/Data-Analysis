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d/Documents/GitHub/CSE 310/Data Analysis/"/>
    </mc:Choice>
  </mc:AlternateContent>
  <xr:revisionPtr revIDLastSave="0" documentId="8_{0AFD1FFB-A6AD-434A-9ABF-4ABE4F4CBEC1}" xr6:coauthVersionLast="47" xr6:coauthVersionMax="47" xr10:uidLastSave="{00000000-0000-0000-0000-000000000000}"/>
  <bookViews>
    <workbookView xWindow="0" yWindow="500" windowWidth="28800" windowHeight="16140" xr2:uid="{6714C47B-24F5-4A08-981E-994D03CF83F3}"/>
  </bookViews>
  <sheets>
    <sheet name="Ranking Sheet" sheetId="1" r:id="rId1"/>
    <sheet name="Scoring Gri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5" i="1" l="1"/>
  <c r="N65" i="1" s="1"/>
  <c r="M64" i="1"/>
  <c r="N64" i="1" s="1"/>
  <c r="M63" i="1"/>
  <c r="N63" i="1" s="1"/>
  <c r="M62" i="1"/>
  <c r="N62" i="1" s="1"/>
  <c r="M61" i="1"/>
  <c r="N61" i="1" s="1"/>
  <c r="M60" i="1"/>
  <c r="N60" i="1" s="1"/>
  <c r="M59" i="1"/>
  <c r="N59" i="1" s="1"/>
  <c r="M58" i="1"/>
  <c r="N58" i="1" s="1"/>
  <c r="M57" i="1"/>
  <c r="N57" i="1" s="1"/>
  <c r="M56" i="1"/>
  <c r="N56" i="1" s="1"/>
  <c r="M55" i="1"/>
  <c r="N55" i="1" s="1"/>
  <c r="M54" i="1"/>
  <c r="N54" i="1" s="1"/>
  <c r="M53" i="1"/>
  <c r="N53" i="1" s="1"/>
  <c r="M52" i="1"/>
  <c r="N52" i="1" s="1"/>
  <c r="M51" i="1"/>
  <c r="N51" i="1" s="1"/>
  <c r="M50" i="1"/>
  <c r="N50" i="1" s="1"/>
  <c r="M49" i="1"/>
  <c r="N49" i="1" s="1"/>
  <c r="M48" i="1"/>
  <c r="N48" i="1" s="1"/>
  <c r="M47" i="1"/>
  <c r="N47" i="1" s="1"/>
  <c r="M46" i="1"/>
  <c r="N46" i="1" s="1"/>
  <c r="M45" i="1"/>
  <c r="N45" i="1" s="1"/>
  <c r="M44" i="1"/>
  <c r="N44" i="1" s="1"/>
  <c r="M43" i="1"/>
  <c r="N43" i="1" s="1"/>
  <c r="M42" i="1"/>
  <c r="N42" i="1" s="1"/>
  <c r="M41" i="1"/>
  <c r="N41" i="1" s="1"/>
  <c r="M40" i="1"/>
  <c r="N40" i="1" s="1"/>
  <c r="M39" i="1"/>
  <c r="N39" i="1" s="1"/>
  <c r="M38" i="1"/>
  <c r="N38" i="1" s="1"/>
  <c r="M37" i="1"/>
  <c r="N37" i="1" s="1"/>
  <c r="M36" i="1"/>
  <c r="N36" i="1" s="1"/>
  <c r="M35" i="1"/>
  <c r="N35" i="1" s="1"/>
  <c r="M34" i="1"/>
  <c r="N34" i="1" s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27" i="1"/>
  <c r="N27" i="1" s="1"/>
  <c r="M26" i="1"/>
  <c r="N26" i="1" s="1"/>
  <c r="M25" i="1"/>
  <c r="N25" i="1" s="1"/>
  <c r="M24" i="1"/>
  <c r="N24" i="1" s="1"/>
  <c r="M23" i="1"/>
  <c r="N23" i="1" s="1"/>
  <c r="M22" i="1"/>
  <c r="N22" i="1" s="1"/>
  <c r="M21" i="1"/>
  <c r="N21" i="1" s="1"/>
  <c r="M20" i="1"/>
  <c r="N20" i="1" s="1"/>
  <c r="M16" i="1"/>
  <c r="M19" i="1"/>
  <c r="R19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 l="1"/>
  <c r="R40" i="1"/>
  <c r="R39" i="1"/>
  <c r="R38" i="1"/>
  <c r="R37" i="1"/>
  <c r="R36" i="1"/>
  <c r="R35" i="1"/>
  <c r="R34" i="1"/>
  <c r="R33" i="1"/>
  <c r="R32" i="1"/>
  <c r="R31" i="1"/>
  <c r="R30" i="1"/>
  <c r="R29" i="1"/>
  <c r="R18" i="1" l="1"/>
  <c r="R12" i="1"/>
  <c r="R13" i="1"/>
  <c r="R17" i="1"/>
  <c r="R11" i="1"/>
  <c r="R15" i="1"/>
  <c r="R16" i="1"/>
  <c r="R20" i="1"/>
  <c r="R21" i="1"/>
  <c r="R22" i="1"/>
  <c r="R23" i="1"/>
  <c r="R24" i="1"/>
  <c r="R25" i="1"/>
  <c r="R26" i="1"/>
  <c r="R27" i="1"/>
  <c r="R28" i="1"/>
  <c r="R14" i="1"/>
  <c r="M14" i="1" l="1"/>
  <c r="M12" i="1" l="1"/>
  <c r="M13" i="1"/>
  <c r="M17" i="1"/>
  <c r="M11" i="1"/>
  <c r="M15" i="1"/>
  <c r="M18" i="1"/>
  <c r="N16" i="1" l="1"/>
  <c r="N18" i="1"/>
  <c r="N11" i="1"/>
  <c r="N13" i="1"/>
  <c r="N14" i="1"/>
  <c r="N15" i="1"/>
  <c r="N19" i="1"/>
  <c r="N17" i="1"/>
  <c r="N12" i="1"/>
</calcChain>
</file>

<file path=xl/sharedStrings.xml><?xml version="1.0" encoding="utf-8"?>
<sst xmlns="http://schemas.openxmlformats.org/spreadsheetml/2006/main" count="67" uniqueCount="61">
  <si>
    <t>Story Rating</t>
  </si>
  <si>
    <t>Salary Rating</t>
  </si>
  <si>
    <t>Fee Rating</t>
  </si>
  <si>
    <t>Client Relation</t>
  </si>
  <si>
    <t>TOTAL</t>
  </si>
  <si>
    <t>Job Order</t>
  </si>
  <si>
    <t>Cand Pool</t>
  </si>
  <si>
    <t>Search type</t>
  </si>
  <si>
    <t xml:space="preserve">Client Response </t>
  </si>
  <si>
    <t>Potential Fee</t>
  </si>
  <si>
    <t>Ranking</t>
  </si>
  <si>
    <t># of Cands Pending</t>
  </si>
  <si>
    <t># Cands Active</t>
  </si>
  <si>
    <t>Submits to Date</t>
  </si>
  <si>
    <t>Minimum Calls still needed</t>
  </si>
  <si>
    <t>Score</t>
  </si>
  <si>
    <t>Candidate Pool</t>
  </si>
  <si>
    <t>Search Type</t>
  </si>
  <si>
    <t>Client Response</t>
  </si>
  <si>
    <t>Good Story &amp; Good Location</t>
  </si>
  <si>
    <t xml:space="preserve">We own this </t>
  </si>
  <si>
    <t>Money Up Front</t>
  </si>
  <si>
    <t>Above Market</t>
  </si>
  <si>
    <t>Above Average</t>
  </si>
  <si>
    <t>Very Timely</t>
  </si>
  <si>
    <t>First Time Client</t>
  </si>
  <si>
    <t>One or the Other</t>
  </si>
  <si>
    <t>We can do it</t>
  </si>
  <si>
    <t>Exclusive</t>
  </si>
  <si>
    <t>At Market</t>
  </si>
  <si>
    <t>Average</t>
  </si>
  <si>
    <t>Great Relationship</t>
  </si>
  <si>
    <t xml:space="preserve"> </t>
  </si>
  <si>
    <t>Needle in Haystack</t>
  </si>
  <si>
    <t>1 other Firm</t>
  </si>
  <si>
    <t>Below Average</t>
  </si>
  <si>
    <t>Slow</t>
  </si>
  <si>
    <t>Tolerate Us</t>
  </si>
  <si>
    <t>2+ Firms</t>
  </si>
  <si>
    <t>Bad Story &amp;   Bad Location</t>
  </si>
  <si>
    <t>Below Market</t>
  </si>
  <si>
    <t>x</t>
  </si>
  <si>
    <r>
      <t xml:space="preserve">Who has the ball? </t>
    </r>
    <r>
      <rPr>
        <b/>
        <sz val="11"/>
        <color theme="9" tint="-0.499984740745262"/>
        <rFont val="Calibri"/>
        <family val="2"/>
        <scheme val="minor"/>
      </rPr>
      <t>Mine</t>
    </r>
  </si>
  <si>
    <r>
      <t xml:space="preserve">Who has the ball? </t>
    </r>
    <r>
      <rPr>
        <b/>
        <sz val="11"/>
        <color rgb="FFC00000"/>
        <rFont val="Calibri"/>
        <family val="2"/>
        <scheme val="minor"/>
      </rPr>
      <t>Theirs</t>
    </r>
  </si>
  <si>
    <t>ABC CORP - DEVELOPER</t>
  </si>
  <si>
    <t>123 INC. - PROJ MGR</t>
  </si>
  <si>
    <t>DEF GROUP - SOFTWARE ENG</t>
  </si>
  <si>
    <t>XYZ INT'L - IT DIRECTOR</t>
  </si>
  <si>
    <t>LMN LIMITED - IT MGR</t>
  </si>
  <si>
    <t>LUCKY 7 - NETWORK ENG</t>
  </si>
  <si>
    <t>TRIPLE G CO. - FRONTEND DEV</t>
  </si>
  <si>
    <t>LAST COMPANY - IT MGR</t>
  </si>
  <si>
    <t>new assignment</t>
  </si>
  <si>
    <t>TieBreaker is higher potential fee</t>
  </si>
  <si>
    <t>Cands=Canidates</t>
  </si>
  <si>
    <t>3+ turns green</t>
  </si>
  <si>
    <t>5+ turns red</t>
  </si>
  <si>
    <t>If active canidates is greater than 3, 0, 2, 25, 1-2 50</t>
  </si>
  <si>
    <t>Coloring based on total</t>
  </si>
  <si>
    <t>Drop down inputs with definitions</t>
  </si>
  <si>
    <t>$200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</si>
</sst>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5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textRotation="180" wrapText="1"/>
    </xf>
    <xf numFmtId="0" fontId="4" fillId="12" borderId="7" xfId="0" applyFont="1" applyFill="1" applyBorder="1" applyAlignment="1">
      <alignment horizontal="center" vertical="center" textRotation="180" wrapText="1"/>
    </xf>
    <xf numFmtId="0" fontId="3" fillId="2" borderId="8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" fillId="0" borderId="3" xfId="0" quotePrefix="1" applyFont="1" applyBorder="1" applyAlignment="1">
      <alignment horizontal="center" vertical="center" wrapText="1"/>
    </xf>
    <xf numFmtId="0" fontId="4" fillId="13" borderId="6" xfId="0" applyFont="1" applyFill="1" applyBorder="1" applyAlignment="1">
      <alignment horizontal="center" vertical="center" textRotation="180" wrapText="1"/>
    </xf>
    <xf numFmtId="164" fontId="3" fillId="13" borderId="3" xfId="1" applyNumberFormat="1" applyFont="1" applyFill="1" applyBorder="1" applyAlignment="1">
      <alignment horizontal="center" vertical="center" wrapText="1"/>
    </xf>
    <xf numFmtId="0" fontId="3" fillId="13" borderId="3" xfId="1" applyNumberFormat="1" applyFont="1" applyFill="1" applyBorder="1" applyAlignment="1">
      <alignment horizontal="center" vertical="center" wrapText="1"/>
    </xf>
    <xf numFmtId="0" fontId="3" fillId="13" borderId="3" xfId="0" applyFont="1" applyFill="1" applyBorder="1" applyAlignment="1">
      <alignment horizontal="center" vertical="center" wrapText="1"/>
    </xf>
    <xf numFmtId="164" fontId="3" fillId="13" borderId="1" xfId="1" applyNumberFormat="1" applyFont="1" applyFill="1" applyBorder="1" applyAlignment="1">
      <alignment horizontal="center" vertical="center" wrapText="1"/>
    </xf>
    <xf numFmtId="0" fontId="3" fillId="13" borderId="1" xfId="1" applyNumberFormat="1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164" fontId="3" fillId="13" borderId="8" xfId="1" applyNumberFormat="1" applyFont="1" applyFill="1" applyBorder="1" applyAlignment="1">
      <alignment horizontal="center" vertical="center" wrapText="1"/>
    </xf>
    <xf numFmtId="0" fontId="3" fillId="13" borderId="8" xfId="1" applyNumberFormat="1" applyFont="1" applyFill="1" applyBorder="1" applyAlignment="1">
      <alignment horizontal="center" vertical="center" wrapText="1"/>
    </xf>
    <xf numFmtId="0" fontId="3" fillId="13" borderId="8" xfId="0" applyFont="1" applyFill="1" applyBorder="1" applyAlignment="1">
      <alignment horizontal="center" vertical="center" wrapText="1"/>
    </xf>
    <xf numFmtId="164" fontId="3" fillId="13" borderId="1" xfId="1" applyNumberFormat="1" applyFont="1" applyFill="1" applyBorder="1" applyAlignment="1">
      <alignment horizontal="left" vertical="center" wrapText="1"/>
    </xf>
  </cellXfs>
  <cellStyles count="2">
    <cellStyle name="Currency" xfId="1" builtinId="4"/>
    <cellStyle name="Normal" xfId="0" builtinId="0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/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/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rgb="FF000000"/>
        </left>
        <right/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9999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C6E0B4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  <vertical/>
        <horizontal/>
      </border>
    </dxf>
    <dxf>
      <border outline="0">
        <top style="medium">
          <color indexed="64"/>
        </top>
        <bottom style="thick">
          <color rgb="FF000000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solid">
          <fgColor indexed="64"/>
          <bgColor rgb="FFFFF2CC"/>
        </patternFill>
      </fill>
      <alignment horizontal="center" vertical="center" textRotation="18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/>
        <bottom/>
      </border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</dxfs>
  <tableStyles count="1" defaultTableStyle="TableStyleMedium2" defaultPivotStyle="PivotStyleLight16">
    <tableStyle name="Table Style 1" pivot="0" count="0" xr9:uid="{9BF744B0-F638-4179-ABB1-8D40A89F5085}"/>
  </tableStyles>
  <colors>
    <mruColors>
      <color rgb="FFFF99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16934</xdr:rowOff>
    </xdr:from>
    <xdr:to>
      <xdr:col>17</xdr:col>
      <xdr:colOff>698501</xdr:colOff>
      <xdr:row>8</xdr:row>
      <xdr:rowOff>756709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" y="16934"/>
          <a:ext cx="11086042" cy="217910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243415</xdr:colOff>
      <xdr:row>0</xdr:row>
      <xdr:rowOff>95250</xdr:rowOff>
    </xdr:from>
    <xdr:to>
      <xdr:col>13</xdr:col>
      <xdr:colOff>271991</xdr:colOff>
      <xdr:row>8</xdr:row>
      <xdr:rowOff>688723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0082" y="95250"/>
          <a:ext cx="6207125" cy="20328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63500</xdr:colOff>
          <xdr:row>5</xdr:row>
          <xdr:rowOff>88900</xdr:rowOff>
        </xdr:from>
        <xdr:to>
          <xdr:col>17</xdr:col>
          <xdr:colOff>25400</xdr:colOff>
          <xdr:row>7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25</xdr:row>
      <xdr:rowOff>175260</xdr:rowOff>
    </xdr:from>
    <xdr:to>
      <xdr:col>12</xdr:col>
      <xdr:colOff>243840</xdr:colOff>
      <xdr:row>38</xdr:row>
      <xdr:rowOff>15240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6987540"/>
          <a:ext cx="7368540" cy="221742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25400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xmlns:mc="http://schemas.openxmlformats.org/markup-compatibility/2006" val="000000" mc:Ignorable="a14" a14:legacySpreadsheetColorIndex="0"/>
                </a:outerShdw>
              </a:effectLst>
            </a14:hiddenEffects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9BB0EB-C663-4F2E-A841-D35920D0BEA3}" name="Table1" displayName="Table1" ref="B10:R65" totalsRowShown="0" headerRowDxfId="19" headerRowBorderDxfId="18" tableBorderDxfId="17">
  <autoFilter ref="B10:R65" xr:uid="{EC8770D2-4288-4C11-AE91-7C0B37A329E4}"/>
  <sortState xmlns:xlrd2="http://schemas.microsoft.com/office/spreadsheetml/2017/richdata2" ref="B11:R65">
    <sortCondition ref="N10:N65"/>
  </sortState>
  <tableColumns count="17">
    <tableColumn id="1" xr3:uid="{A7FDD4BA-3130-4983-A966-D0C88E649316}" name="Who has the ball? Mine" dataDxfId="16"/>
    <tableColumn id="2" xr3:uid="{E959E909-F56C-4161-9EB0-95EC8AA7A4C3}" name="Who has the ball? Theirs" dataDxfId="15"/>
    <tableColumn id="3" xr3:uid="{D3D668C9-3083-4333-9C80-FED324556A53}" name="Job Order" dataDxfId="14"/>
    <tableColumn id="4" xr3:uid="{DDE54FA9-B476-4ADC-AFDA-0D2D9DE3EA68}" name="Potential Fee" dataDxfId="13"/>
    <tableColumn id="5" xr3:uid="{16A963CE-6D2C-43E2-8B37-DE2267287B54}" name="Story Rating" dataDxfId="12"/>
    <tableColumn id="6" xr3:uid="{14907419-5BD6-40EA-AA80-690CDBFAE3C1}" name="Cand Pool" dataDxfId="11"/>
    <tableColumn id="7" xr3:uid="{FF483347-A574-43BA-B2C0-A20D29090575}" name="Search type" dataDxfId="10"/>
    <tableColumn id="8" xr3:uid="{652C4FDD-F673-4635-8418-A7ABC6F787DF}" name="Salary Rating" dataDxfId="9"/>
    <tableColumn id="9" xr3:uid="{69BF400B-B875-420B-859D-493556479D12}" name="Fee Rating" dataDxfId="8"/>
    <tableColumn id="10" xr3:uid="{FEDCF7AF-B11D-42A8-80AF-CE1FA761D19A}" name="Client Response " dataDxfId="7"/>
    <tableColumn id="11" xr3:uid="{30086C8B-D2F8-4125-B7A5-E50ADAEABB9B}" name="Client Relation" dataDxfId="6"/>
    <tableColumn id="12" xr3:uid="{F6E56A8B-D01D-4492-8F4A-C2B4EAB5056C}" name="TOTAL" dataDxfId="5">
      <calculatedColumnFormula>SUM(F11:L11)</calculatedColumnFormula>
    </tableColumn>
    <tableColumn id="13" xr3:uid="{9ED45C8D-61DE-4E9F-BA1B-B782BB817637}" name="Ranking" dataDxfId="4">
      <calculatedColumnFormula>IF(M11=0,"",_xlfn.RANK.EQ($M11,$M$11:$M$65)+COUNTIFS($M$11:$M$65,$M11,$E$11:$E$65,"&gt;"&amp;$E11))</calculatedColumnFormula>
    </tableColumn>
    <tableColumn id="14" xr3:uid="{22F8D267-D63A-4EF9-B7C7-FB206D56E746}" name="# of Cands Pending" dataDxfId="3"/>
    <tableColumn id="15" xr3:uid="{9CB14F1C-4A4E-40FB-99B4-EC036EE88C88}" name="# Cands Active" dataDxfId="2"/>
    <tableColumn id="16" xr3:uid="{61458643-CBF7-4A40-AC77-FCD7EF6F2B02}" name="Submits to Date" dataDxfId="1"/>
    <tableColumn id="17" xr3:uid="{8A50BCC6-5434-4017-8DB5-CBC64D39E949}" name="Minimum Calls still needed" dataDxfId="0">
      <calculatedColumnFormula>IF(ISBLANK(P11),"",IF(P11&gt;=3,"0",IF(P11=2,"25",IF(P11&lt;=1,"50"))))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F857F-6F9F-4F0A-A73E-92C9443E115A}">
  <sheetPr codeName="Sheet1"/>
  <dimension ref="B9:T66"/>
  <sheetViews>
    <sheetView tabSelected="1" zoomScale="116" zoomScaleNormal="90" workbookViewId="0">
      <selection activeCell="L20" sqref="L20"/>
    </sheetView>
  </sheetViews>
  <sheetFormatPr baseColWidth="10" defaultColWidth="8.83203125" defaultRowHeight="15" x14ac:dyDescent="0.2"/>
  <cols>
    <col min="2" max="2" width="10.6640625" customWidth="1"/>
    <col min="3" max="3" width="10.5" customWidth="1"/>
    <col min="4" max="4" width="31.33203125" customWidth="1"/>
    <col min="5" max="5" width="9.5" customWidth="1"/>
    <col min="6" max="14" width="5.6640625" customWidth="1"/>
    <col min="15" max="17" width="7.6640625" customWidth="1"/>
    <col min="18" max="18" width="9.83203125" customWidth="1"/>
  </cols>
  <sheetData>
    <row r="9" spans="2:20" ht="63.5" customHeight="1" x14ac:dyDescent="0.2"/>
    <row r="10" spans="2:20" ht="55" thickBot="1" x14ac:dyDescent="0.25">
      <c r="B10" s="16" t="s">
        <v>42</v>
      </c>
      <c r="C10" s="16" t="s">
        <v>43</v>
      </c>
      <c r="D10" s="17" t="s">
        <v>5</v>
      </c>
      <c r="E10" s="24" t="s">
        <v>9</v>
      </c>
      <c r="F10" s="24" t="s">
        <v>0</v>
      </c>
      <c r="G10" s="24" t="s">
        <v>6</v>
      </c>
      <c r="H10" s="24" t="s">
        <v>7</v>
      </c>
      <c r="I10" s="24" t="s">
        <v>1</v>
      </c>
      <c r="J10" s="24" t="s">
        <v>2</v>
      </c>
      <c r="K10" s="24" t="s">
        <v>8</v>
      </c>
      <c r="L10" s="24" t="s">
        <v>3</v>
      </c>
      <c r="M10" s="18" t="s">
        <v>4</v>
      </c>
      <c r="N10" s="18" t="s">
        <v>10</v>
      </c>
      <c r="O10" s="24" t="s">
        <v>11</v>
      </c>
      <c r="P10" s="24" t="s">
        <v>12</v>
      </c>
      <c r="Q10" s="24" t="s">
        <v>13</v>
      </c>
      <c r="R10" s="19" t="s">
        <v>14</v>
      </c>
    </row>
    <row r="11" spans="2:20" ht="18" thickTop="1" thickBot="1" x14ac:dyDescent="0.25">
      <c r="B11" s="14"/>
      <c r="C11" s="15"/>
      <c r="D11" s="12" t="s">
        <v>44</v>
      </c>
      <c r="E11" s="25">
        <v>19000</v>
      </c>
      <c r="F11" s="26">
        <v>1</v>
      </c>
      <c r="G11" s="27">
        <v>2</v>
      </c>
      <c r="H11" s="27">
        <v>2</v>
      </c>
      <c r="I11" s="27">
        <v>2</v>
      </c>
      <c r="J11" s="27">
        <v>2</v>
      </c>
      <c r="K11" s="27">
        <v>2</v>
      </c>
      <c r="L11" s="27">
        <v>1</v>
      </c>
      <c r="M11" s="13">
        <f>SUM(F11:L11)</f>
        <v>12</v>
      </c>
      <c r="N11" s="23">
        <f>IF(M11=0,"",_xlfn.RANK.EQ($M11,$M$11:$M$65)+COUNTIFS($M$11:$M$65,$M11,$E$11:$E$65,"&gt;"&amp;$E11))</f>
        <v>1</v>
      </c>
      <c r="O11" s="27">
        <v>0</v>
      </c>
      <c r="P11" s="27">
        <v>3</v>
      </c>
      <c r="Q11" s="27">
        <v>1</v>
      </c>
      <c r="R11" s="12" t="str">
        <f>IF(ISBLANK(P11),"",IF(P11&gt;=3,"0",IF(P11=2,"25",IF(P11&lt;=1,"50"))))</f>
        <v>0</v>
      </c>
    </row>
    <row r="12" spans="2:20" ht="18" thickTop="1" thickBot="1" x14ac:dyDescent="0.25">
      <c r="B12" s="14"/>
      <c r="C12" s="15"/>
      <c r="D12" s="1" t="s">
        <v>47</v>
      </c>
      <c r="E12" s="28">
        <v>16000</v>
      </c>
      <c r="F12" s="29">
        <v>1</v>
      </c>
      <c r="G12" s="30">
        <v>2</v>
      </c>
      <c r="H12" s="30">
        <v>2</v>
      </c>
      <c r="I12" s="30">
        <v>2</v>
      </c>
      <c r="J12" s="30">
        <v>2</v>
      </c>
      <c r="K12" s="30">
        <v>2</v>
      </c>
      <c r="L12" s="30">
        <v>1</v>
      </c>
      <c r="M12" s="11">
        <f>SUM(F12:L12)</f>
        <v>12</v>
      </c>
      <c r="N12" s="23">
        <f>IF(M12=0,"",_xlfn.RANK.EQ($M12,$M$11:$M$65)+COUNTIFS($M$11:$M$65,$M12,$E$11:$E$65,"&gt;"&amp;$E12))</f>
        <v>2</v>
      </c>
      <c r="O12" s="30">
        <v>1</v>
      </c>
      <c r="P12" s="30">
        <v>1</v>
      </c>
      <c r="Q12" s="30">
        <v>1</v>
      </c>
      <c r="R12" s="12" t="str">
        <f>IF(ISBLANK(P12),"",IF(P12&gt;=3,"0",IF(P12=2,"25",IF(P12&lt;=1,"50"))))</f>
        <v>50</v>
      </c>
      <c r="T12" t="s">
        <v>53</v>
      </c>
    </row>
    <row r="13" spans="2:20" ht="18" thickTop="1" thickBot="1" x14ac:dyDescent="0.25">
      <c r="B13" s="14"/>
      <c r="C13" s="15"/>
      <c r="D13" s="1" t="s">
        <v>49</v>
      </c>
      <c r="E13" s="28">
        <v>18000</v>
      </c>
      <c r="F13" s="29">
        <v>2</v>
      </c>
      <c r="G13" s="30">
        <v>1</v>
      </c>
      <c r="H13" s="30">
        <v>2</v>
      </c>
      <c r="I13" s="30">
        <v>2</v>
      </c>
      <c r="J13" s="30">
        <v>1</v>
      </c>
      <c r="K13" s="30">
        <v>2</v>
      </c>
      <c r="L13" s="30">
        <v>1</v>
      </c>
      <c r="M13" s="11">
        <f>SUM(F13:L13)</f>
        <v>11</v>
      </c>
      <c r="N13" s="23">
        <f>IF(M13=0,"",_xlfn.RANK.EQ($M13,$M$11:$M$65)+COUNTIFS($M$11:$M$65,$M13,$E$11:$E$65,"&gt;"&amp;$E13))</f>
        <v>3</v>
      </c>
      <c r="O13" s="30">
        <v>0</v>
      </c>
      <c r="P13" s="30">
        <v>2</v>
      </c>
      <c r="Q13" s="30">
        <v>6</v>
      </c>
      <c r="R13" s="12" t="str">
        <f>IF(ISBLANK(P13),"",IF(P13&gt;=3,"0",IF(P13=2,"25",IF(P13&lt;=1,"50"))))</f>
        <v>25</v>
      </c>
      <c r="T13" t="s">
        <v>54</v>
      </c>
    </row>
    <row r="14" spans="2:20" ht="18" thickTop="1" thickBot="1" x14ac:dyDescent="0.25">
      <c r="B14" s="14"/>
      <c r="C14" s="15"/>
      <c r="D14" s="1" t="s">
        <v>48</v>
      </c>
      <c r="E14" s="28">
        <v>17000</v>
      </c>
      <c r="F14" s="29">
        <v>2</v>
      </c>
      <c r="G14" s="30">
        <v>2</v>
      </c>
      <c r="H14" s="30">
        <v>1</v>
      </c>
      <c r="I14" s="30">
        <v>1</v>
      </c>
      <c r="J14" s="30">
        <v>1</v>
      </c>
      <c r="K14" s="30">
        <v>2</v>
      </c>
      <c r="L14" s="30">
        <v>2</v>
      </c>
      <c r="M14" s="11">
        <f>SUM(F14:L14)</f>
        <v>11</v>
      </c>
      <c r="N14" s="23">
        <f>IF(M14=0,"",_xlfn.RANK.EQ($M14,$M$11:$M$65)+COUNTIFS($M$11:$M$65,$M14,$E$11:$E$65,"&gt;"&amp;$E14))</f>
        <v>4</v>
      </c>
      <c r="O14" s="30">
        <v>3</v>
      </c>
      <c r="P14" s="30">
        <v>3</v>
      </c>
      <c r="Q14" s="30">
        <v>1</v>
      </c>
      <c r="R14" s="12" t="str">
        <f>IF(ISBLANK(P14),"",IF(P14&gt;=3,"0",IF(P14=2,"25",IF(P14&lt;=1,"50"))))</f>
        <v>0</v>
      </c>
      <c r="T14" t="s">
        <v>55</v>
      </c>
    </row>
    <row r="15" spans="2:20" ht="18" thickTop="1" thickBot="1" x14ac:dyDescent="0.25">
      <c r="B15" s="14"/>
      <c r="C15" s="15"/>
      <c r="D15" s="12" t="s">
        <v>45</v>
      </c>
      <c r="E15" s="25">
        <v>15000</v>
      </c>
      <c r="F15" s="26">
        <v>1</v>
      </c>
      <c r="G15" s="27">
        <v>1</v>
      </c>
      <c r="H15" s="27">
        <v>1</v>
      </c>
      <c r="I15" s="27">
        <v>2</v>
      </c>
      <c r="J15" s="27">
        <v>2</v>
      </c>
      <c r="K15" s="27">
        <v>2</v>
      </c>
      <c r="L15" s="27">
        <v>1</v>
      </c>
      <c r="M15" s="11">
        <f>SUM(F15:L15)</f>
        <v>10</v>
      </c>
      <c r="N15" s="23">
        <f>IF(M15=0,"",_xlfn.RANK.EQ($M15,$M$11:$M$65)+COUNTIFS($M$11:$M$65,$M15,$E$11:$E$65,"&gt;"&amp;$E15))</f>
        <v>5</v>
      </c>
      <c r="O15" s="27">
        <v>1</v>
      </c>
      <c r="P15" s="27">
        <v>3</v>
      </c>
      <c r="Q15" s="27">
        <v>3</v>
      </c>
      <c r="R15" s="12" t="str">
        <f>IF(ISBLANK(P15),"",IF(P15&gt;=3,"0",IF(P15=2,"25",IF(P15&lt;=1,"50"))))</f>
        <v>0</v>
      </c>
      <c r="T15" t="s">
        <v>56</v>
      </c>
    </row>
    <row r="16" spans="2:20" ht="18" thickTop="1" thickBot="1" x14ac:dyDescent="0.25">
      <c r="B16" s="14"/>
      <c r="C16" s="15"/>
      <c r="D16" s="1" t="s">
        <v>52</v>
      </c>
      <c r="E16" s="34">
        <v>21000</v>
      </c>
      <c r="F16" s="30">
        <v>2</v>
      </c>
      <c r="G16" s="30">
        <v>1</v>
      </c>
      <c r="H16" s="30">
        <v>1</v>
      </c>
      <c r="I16" s="30">
        <v>1</v>
      </c>
      <c r="J16" s="30">
        <v>1</v>
      </c>
      <c r="K16" s="30">
        <v>1</v>
      </c>
      <c r="L16" s="30">
        <v>1</v>
      </c>
      <c r="M16" s="11">
        <f>SUM(F16:L16)</f>
        <v>8</v>
      </c>
      <c r="N16" s="23">
        <f>IF(M16=0,"",_xlfn.RANK.EQ($M16,$M$11:$M$65)+COUNTIFS($M$11:$M$65,$M16,$E$11:$E$65,"&gt;"&amp;$E16))</f>
        <v>6</v>
      </c>
      <c r="O16" s="30">
        <v>0</v>
      </c>
      <c r="P16" s="30">
        <v>2</v>
      </c>
      <c r="Q16" s="30">
        <v>2</v>
      </c>
      <c r="R16" s="12" t="str">
        <f>IF(ISBLANK(P16),"",IF(P16&gt;=3,"0",IF(P16=2,"25",IF(P16&lt;=1,"50"))))</f>
        <v>25</v>
      </c>
      <c r="T16" t="s">
        <v>57</v>
      </c>
    </row>
    <row r="17" spans="2:20" ht="18" thickTop="1" thickBot="1" x14ac:dyDescent="0.25">
      <c r="B17" s="14"/>
      <c r="C17" s="15"/>
      <c r="D17" s="1" t="s">
        <v>46</v>
      </c>
      <c r="E17" s="28">
        <v>23000</v>
      </c>
      <c r="F17" s="29">
        <v>0</v>
      </c>
      <c r="G17" s="30">
        <v>2</v>
      </c>
      <c r="H17" s="30">
        <v>0</v>
      </c>
      <c r="I17" s="30">
        <v>1</v>
      </c>
      <c r="J17" s="30">
        <v>1</v>
      </c>
      <c r="K17" s="30">
        <v>2</v>
      </c>
      <c r="L17" s="30">
        <v>1</v>
      </c>
      <c r="M17" s="11">
        <f>SUM(F17:L17)</f>
        <v>7</v>
      </c>
      <c r="N17" s="23">
        <f>IF(M17=0,"",_xlfn.RANK.EQ($M17,$M$11:$M$65)+COUNTIFS($M$11:$M$65,$M17,$E$11:$E$65,"&gt;"&amp;$E17))</f>
        <v>7</v>
      </c>
      <c r="O17" s="30">
        <v>1</v>
      </c>
      <c r="P17" s="30">
        <v>1</v>
      </c>
      <c r="Q17" s="30">
        <v>2</v>
      </c>
      <c r="R17" s="12" t="str">
        <f>IF(ISBLANK(P17),"",IF(P17&gt;=3,"0",IF(P17=2,"25",IF(P17&lt;=1,"50"))))</f>
        <v>50</v>
      </c>
      <c r="T17" t="s">
        <v>58</v>
      </c>
    </row>
    <row r="18" spans="2:20" ht="18" thickTop="1" thickBot="1" x14ac:dyDescent="0.25">
      <c r="B18" s="14"/>
      <c r="C18" s="15"/>
      <c r="D18" s="1" t="s">
        <v>50</v>
      </c>
      <c r="E18" s="28">
        <v>19000</v>
      </c>
      <c r="F18" s="29">
        <v>1</v>
      </c>
      <c r="G18" s="30">
        <v>0</v>
      </c>
      <c r="H18" s="30">
        <v>1</v>
      </c>
      <c r="I18" s="30">
        <v>1</v>
      </c>
      <c r="J18" s="30">
        <v>1</v>
      </c>
      <c r="K18" s="30">
        <v>1</v>
      </c>
      <c r="L18" s="30">
        <v>2</v>
      </c>
      <c r="M18" s="11">
        <f>SUM(F18:L18)</f>
        <v>7</v>
      </c>
      <c r="N18" s="23">
        <f>IF(M18=0,"",_xlfn.RANK.EQ($M18,$M$11:$M$65)+COUNTIFS($M$11:$M$65,$M18,$E$11:$E$65,"&gt;"&amp;$E18))</f>
        <v>8</v>
      </c>
      <c r="O18" s="30">
        <v>0</v>
      </c>
      <c r="P18" s="30">
        <v>2</v>
      </c>
      <c r="Q18" s="30">
        <v>2</v>
      </c>
      <c r="R18" s="12" t="str">
        <f>IF(ISBLANK(P18),"",IF(P18&gt;=3,"0",IF(P18=2,"25",IF(P18&lt;=1,"50"))))</f>
        <v>25</v>
      </c>
      <c r="T18" t="s">
        <v>59</v>
      </c>
    </row>
    <row r="19" spans="2:20" ht="18" thickTop="1" thickBot="1" x14ac:dyDescent="0.25">
      <c r="B19" s="14"/>
      <c r="C19" s="15" t="s">
        <v>41</v>
      </c>
      <c r="D19" s="1" t="s">
        <v>51</v>
      </c>
      <c r="E19" s="28">
        <v>23000</v>
      </c>
      <c r="F19" s="29">
        <v>-1</v>
      </c>
      <c r="G19" s="30">
        <v>1</v>
      </c>
      <c r="H19" s="30">
        <v>1</v>
      </c>
      <c r="I19" s="30">
        <v>1</v>
      </c>
      <c r="J19" s="30">
        <v>1</v>
      </c>
      <c r="K19" s="30">
        <v>1</v>
      </c>
      <c r="L19" s="30">
        <v>1</v>
      </c>
      <c r="M19" s="11">
        <f>SUM(F19:L19)</f>
        <v>5</v>
      </c>
      <c r="N19" s="23">
        <f>IF(M19=0,"",_xlfn.RANK.EQ($M19,$M$11:$M$65)+COUNTIFS($M$11:$M$65,$M19,$E$11:$E$65,"&gt;"&amp;$E19))</f>
        <v>9</v>
      </c>
      <c r="O19" s="30">
        <v>1</v>
      </c>
      <c r="P19" s="30">
        <v>0</v>
      </c>
      <c r="Q19" s="30">
        <v>0</v>
      </c>
      <c r="R19" s="12" t="str">
        <f>IF(ISBLANK(P19),"",IF(P19&gt;=3,"0",IF(P19=2,"25",IF(P19&lt;=1,"50"))))</f>
        <v>50</v>
      </c>
      <c r="T19" t="s">
        <v>60</v>
      </c>
    </row>
    <row r="20" spans="2:20" ht="18" thickTop="1" thickBot="1" x14ac:dyDescent="0.25">
      <c r="B20" s="14"/>
      <c r="C20" s="15"/>
      <c r="D20" s="2"/>
      <c r="E20" s="34" t="s">
        <v>32</v>
      </c>
      <c r="F20" s="30"/>
      <c r="G20" s="30"/>
      <c r="H20" s="30"/>
      <c r="I20" s="30"/>
      <c r="J20" s="30"/>
      <c r="K20" s="30"/>
      <c r="L20" s="30"/>
      <c r="M20" s="11">
        <f>SUM(F20:L20)</f>
        <v>0</v>
      </c>
      <c r="N20" s="23" t="str">
        <f>IF(M20=0,"",_xlfn.RANK.EQ($M20,$M$11:$M$65)+COUNTIFS($M$11:$M$65,$M20,$E$11:$E$65,"&gt;"&amp;$E20))</f>
        <v/>
      </c>
      <c r="O20" s="30"/>
      <c r="P20" s="30"/>
      <c r="Q20" s="30"/>
      <c r="R20" s="12" t="str">
        <f>IF(ISBLANK(P20),"",IF(P20&gt;=3,"0",IF(P20=2,"25",IF(P20&lt;=1,"50"))))</f>
        <v/>
      </c>
    </row>
    <row r="21" spans="2:20" ht="18" thickTop="1" thickBot="1" x14ac:dyDescent="0.25">
      <c r="B21" s="14"/>
      <c r="C21" s="15"/>
      <c r="D21" s="2"/>
      <c r="E21" s="34"/>
      <c r="F21" s="30"/>
      <c r="G21" s="30"/>
      <c r="H21" s="30"/>
      <c r="I21" s="30"/>
      <c r="J21" s="30"/>
      <c r="K21" s="30"/>
      <c r="L21" s="30"/>
      <c r="M21" s="11">
        <f>SUM(F21:L21)</f>
        <v>0</v>
      </c>
      <c r="N21" s="23" t="str">
        <f>IF(M21=0,"",_xlfn.RANK.EQ($M21,$M$11:$M$65)+COUNTIFS($M$11:$M$65,$M21,$E$11:$E$65,"&gt;"&amp;$E21))</f>
        <v/>
      </c>
      <c r="O21" s="30"/>
      <c r="P21" s="30"/>
      <c r="Q21" s="30"/>
      <c r="R21" s="12" t="str">
        <f>IF(ISBLANK(P21),"",IF(P21&gt;=3,"0",IF(P21=2,"25",IF(P21&lt;=1,"50"))))</f>
        <v/>
      </c>
    </row>
    <row r="22" spans="2:20" ht="18" thickTop="1" thickBot="1" x14ac:dyDescent="0.25">
      <c r="B22" s="14"/>
      <c r="C22" s="15"/>
      <c r="D22" s="2"/>
      <c r="E22" s="34"/>
      <c r="F22" s="30"/>
      <c r="G22" s="30"/>
      <c r="H22" s="30"/>
      <c r="I22" s="30"/>
      <c r="J22" s="30"/>
      <c r="K22" s="30"/>
      <c r="L22" s="30"/>
      <c r="M22" s="11">
        <f>SUM(F22:L22)</f>
        <v>0</v>
      </c>
      <c r="N22" s="23" t="str">
        <f>IF(M22=0,"",_xlfn.RANK.EQ($M22,$M$11:$M$65)+COUNTIFS($M$11:$M$65,$M22,$E$11:$E$65,"&gt;"&amp;$E22))</f>
        <v/>
      </c>
      <c r="O22" s="30"/>
      <c r="P22" s="30"/>
      <c r="Q22" s="30"/>
      <c r="R22" s="12" t="str">
        <f>IF(ISBLANK(P22),"",IF(P22&gt;=3,"0",IF(P22=2,"25",IF(P22&lt;=1,"50"))))</f>
        <v/>
      </c>
    </row>
    <row r="23" spans="2:20" ht="18" thickTop="1" thickBot="1" x14ac:dyDescent="0.25">
      <c r="B23" s="14"/>
      <c r="C23" s="15"/>
      <c r="D23" s="2"/>
      <c r="E23" s="34"/>
      <c r="F23" s="30"/>
      <c r="G23" s="30"/>
      <c r="H23" s="30"/>
      <c r="I23" s="30"/>
      <c r="J23" s="30"/>
      <c r="K23" s="30"/>
      <c r="L23" s="30"/>
      <c r="M23" s="11">
        <f>SUM(F23:L23)</f>
        <v>0</v>
      </c>
      <c r="N23" s="23" t="str">
        <f>IF(M23=0,"",_xlfn.RANK.EQ($M23,$M$11:$M$65)+COUNTIFS($M$11:$M$65,$M23,$E$11:$E$65,"&gt;"&amp;$E23))</f>
        <v/>
      </c>
      <c r="O23" s="30"/>
      <c r="P23" s="30"/>
      <c r="Q23" s="30"/>
      <c r="R23" s="12" t="str">
        <f>IF(ISBLANK(P23),"",IF(P23&gt;=3,"0",IF(P23=2,"25",IF(P23&lt;=1,"50"))))</f>
        <v/>
      </c>
    </row>
    <row r="24" spans="2:20" ht="18" thickTop="1" thickBot="1" x14ac:dyDescent="0.25">
      <c r="B24" s="14"/>
      <c r="C24" s="15"/>
      <c r="D24" s="2"/>
      <c r="E24" s="34"/>
      <c r="F24" s="30"/>
      <c r="G24" s="30"/>
      <c r="H24" s="30"/>
      <c r="I24" s="30"/>
      <c r="J24" s="30"/>
      <c r="K24" s="30"/>
      <c r="L24" s="30"/>
      <c r="M24" s="11">
        <f>SUM(F24:L24)</f>
        <v>0</v>
      </c>
      <c r="N24" s="23" t="str">
        <f>IF(M24=0,"",_xlfn.RANK.EQ($M24,$M$11:$M$65)+COUNTIFS($M$11:$M$65,$M24,$E$11:$E$65,"&gt;"&amp;$E24))</f>
        <v/>
      </c>
      <c r="O24" s="30"/>
      <c r="P24" s="30"/>
      <c r="Q24" s="30"/>
      <c r="R24" s="12" t="str">
        <f>IF(ISBLANK(P24),"",IF(P24&gt;=3,"0",IF(P24=2,"25",IF(P24&lt;=1,"50"))))</f>
        <v/>
      </c>
    </row>
    <row r="25" spans="2:20" ht="18" thickTop="1" thickBot="1" x14ac:dyDescent="0.25">
      <c r="B25" s="14"/>
      <c r="C25" s="15"/>
      <c r="D25" s="2"/>
      <c r="E25" s="34"/>
      <c r="F25" s="30"/>
      <c r="G25" s="30"/>
      <c r="H25" s="30"/>
      <c r="I25" s="30"/>
      <c r="J25" s="30"/>
      <c r="K25" s="30"/>
      <c r="L25" s="30"/>
      <c r="M25" s="11">
        <f>SUM(F25:L25)</f>
        <v>0</v>
      </c>
      <c r="N25" s="23" t="str">
        <f>IF(M25=0,"",_xlfn.RANK.EQ($M25,$M$11:$M$65)+COUNTIFS($M$11:$M$65,$M25,$E$11:$E$65,"&gt;"&amp;$E25))</f>
        <v/>
      </c>
      <c r="O25" s="30"/>
      <c r="P25" s="30"/>
      <c r="Q25" s="30"/>
      <c r="R25" s="12" t="str">
        <f>IF(ISBLANK(P25),"",IF(P25&gt;=3,"0",IF(P25=2,"25",IF(P25&lt;=1,"50"))))</f>
        <v/>
      </c>
    </row>
    <row r="26" spans="2:20" ht="18" thickTop="1" thickBot="1" x14ac:dyDescent="0.25">
      <c r="B26" s="14"/>
      <c r="C26" s="15"/>
      <c r="D26" s="2"/>
      <c r="E26" s="34"/>
      <c r="F26" s="30"/>
      <c r="G26" s="30"/>
      <c r="H26" s="30"/>
      <c r="I26" s="30"/>
      <c r="J26" s="30"/>
      <c r="K26" s="30"/>
      <c r="L26" s="30"/>
      <c r="M26" s="11">
        <f>SUM(F26:L26)</f>
        <v>0</v>
      </c>
      <c r="N26" s="23" t="str">
        <f>IF(M26=0,"",_xlfn.RANK.EQ($M26,$M$11:$M$65)+COUNTIFS($M$11:$M$65,$M26,$E$11:$E$65,"&gt;"&amp;$E26))</f>
        <v/>
      </c>
      <c r="O26" s="30"/>
      <c r="P26" s="30"/>
      <c r="Q26" s="30"/>
      <c r="R26" s="12" t="str">
        <f>IF(ISBLANK(P26),"",IF(P26&gt;=3,"0",IF(P26=2,"25",IF(P26&lt;=1,"50"))))</f>
        <v/>
      </c>
    </row>
    <row r="27" spans="2:20" ht="18" thickTop="1" thickBot="1" x14ac:dyDescent="0.25">
      <c r="B27" s="14"/>
      <c r="C27" s="15"/>
      <c r="D27" s="2"/>
      <c r="E27" s="34"/>
      <c r="F27" s="30"/>
      <c r="G27" s="30"/>
      <c r="H27" s="30"/>
      <c r="I27" s="30"/>
      <c r="J27" s="30"/>
      <c r="K27" s="30"/>
      <c r="L27" s="30"/>
      <c r="M27" s="11">
        <f>SUM(F27:L27)</f>
        <v>0</v>
      </c>
      <c r="N27" s="23" t="str">
        <f>IF(M27=0,"",_xlfn.RANK.EQ($M27,$M$11:$M$65)+COUNTIFS($M$11:$M$65,$M27,$E$11:$E$65,"&gt;"&amp;$E27))</f>
        <v/>
      </c>
      <c r="O27" s="30"/>
      <c r="P27" s="30"/>
      <c r="Q27" s="30"/>
      <c r="R27" s="12" t="str">
        <f>IF(ISBLANK(P27),"",IF(P27&gt;=3,"0",IF(P27=2,"25",IF(P27&lt;=1,"50"))))</f>
        <v/>
      </c>
    </row>
    <row r="28" spans="2:20" ht="18" thickTop="1" thickBot="1" x14ac:dyDescent="0.25">
      <c r="B28" s="14"/>
      <c r="C28" s="15"/>
      <c r="D28" s="2"/>
      <c r="E28" s="34"/>
      <c r="F28" s="30"/>
      <c r="G28" s="30"/>
      <c r="H28" s="30"/>
      <c r="I28" s="30"/>
      <c r="J28" s="30"/>
      <c r="K28" s="30"/>
      <c r="L28" s="30"/>
      <c r="M28" s="11">
        <f>SUM(F28:L28)</f>
        <v>0</v>
      </c>
      <c r="N28" s="23" t="str">
        <f>IF(M28=0,"",_xlfn.RANK.EQ($M28,$M$11:$M$65)+COUNTIFS($M$11:$M$65,$M28,$E$11:$E$65,"&gt;"&amp;$E28))</f>
        <v/>
      </c>
      <c r="O28" s="30"/>
      <c r="P28" s="30"/>
      <c r="Q28" s="30"/>
      <c r="R28" s="12" t="str">
        <f>IF(ISBLANK(P28),"",IF(P28&gt;=3,"0",IF(P28=2,"25",IF(P28&lt;=1,"50"))))</f>
        <v/>
      </c>
    </row>
    <row r="29" spans="2:20" ht="18" thickTop="1" thickBot="1" x14ac:dyDescent="0.25">
      <c r="B29" s="14"/>
      <c r="C29" s="15"/>
      <c r="D29" s="2"/>
      <c r="E29" s="34"/>
      <c r="F29" s="30"/>
      <c r="G29" s="30"/>
      <c r="H29" s="30"/>
      <c r="I29" s="30"/>
      <c r="J29" s="30"/>
      <c r="K29" s="30"/>
      <c r="L29" s="30"/>
      <c r="M29" s="11">
        <f>SUM(F29:L29)</f>
        <v>0</v>
      </c>
      <c r="N29" s="23" t="str">
        <f>IF(M29=0,"",_xlfn.RANK.EQ($M29,$M$11:$M$65)+COUNTIFS($M$11:$M$65,$M29,$E$11:$E$65,"&gt;"&amp;$E29))</f>
        <v/>
      </c>
      <c r="O29" s="30"/>
      <c r="P29" s="30"/>
      <c r="Q29" s="30"/>
      <c r="R29" s="12" t="str">
        <f>IF(ISBLANK(P29),"",IF(P29&gt;=3,"0",IF(P29=2,"25",IF(P29&lt;=1,"50"))))</f>
        <v/>
      </c>
    </row>
    <row r="30" spans="2:20" ht="18" thickTop="1" thickBot="1" x14ac:dyDescent="0.25">
      <c r="B30" s="14"/>
      <c r="C30" s="15"/>
      <c r="D30" s="2"/>
      <c r="E30" s="34"/>
      <c r="F30" s="30"/>
      <c r="G30" s="30"/>
      <c r="H30" s="30"/>
      <c r="I30" s="30"/>
      <c r="J30" s="30"/>
      <c r="K30" s="30"/>
      <c r="L30" s="30"/>
      <c r="M30" s="11">
        <f>SUM(F30:L30)</f>
        <v>0</v>
      </c>
      <c r="N30" s="23" t="str">
        <f>IF(M30=0,"",_xlfn.RANK.EQ($M30,$M$11:$M$65)+COUNTIFS($M$11:$M$65,$M30,$E$11:$E$65,"&gt;"&amp;$E30))</f>
        <v/>
      </c>
      <c r="O30" s="30"/>
      <c r="P30" s="30"/>
      <c r="Q30" s="30"/>
      <c r="R30" s="12" t="str">
        <f>IF(ISBLANK(P30),"",IF(P30&gt;=3,"0",IF(P30=2,"25",IF(P30&lt;=1,"50"))))</f>
        <v/>
      </c>
    </row>
    <row r="31" spans="2:20" ht="18" thickTop="1" thickBot="1" x14ac:dyDescent="0.25">
      <c r="B31" s="14"/>
      <c r="C31" s="15"/>
      <c r="D31" s="2"/>
      <c r="E31" s="34"/>
      <c r="F31" s="30"/>
      <c r="G31" s="30"/>
      <c r="H31" s="30"/>
      <c r="I31" s="30"/>
      <c r="J31" s="30"/>
      <c r="K31" s="30"/>
      <c r="L31" s="30"/>
      <c r="M31" s="11">
        <f>SUM(F31:L31)</f>
        <v>0</v>
      </c>
      <c r="N31" s="23" t="str">
        <f>IF(M31=0,"",_xlfn.RANK.EQ($M31,$M$11:$M$65)+COUNTIFS($M$11:$M$65,$M31,$E$11:$E$65,"&gt;"&amp;$E31))</f>
        <v/>
      </c>
      <c r="O31" s="30"/>
      <c r="P31" s="30"/>
      <c r="Q31" s="30"/>
      <c r="R31" s="12" t="str">
        <f>IF(ISBLANK(P31),"",IF(P31&gt;=3,"0",IF(P31=2,"25",IF(P31&lt;=1,"50"))))</f>
        <v/>
      </c>
    </row>
    <row r="32" spans="2:20" ht="18" thickTop="1" thickBot="1" x14ac:dyDescent="0.25">
      <c r="B32" s="14"/>
      <c r="C32" s="15"/>
      <c r="D32" s="2"/>
      <c r="E32" s="34"/>
      <c r="F32" s="30"/>
      <c r="G32" s="30"/>
      <c r="H32" s="30"/>
      <c r="I32" s="30"/>
      <c r="J32" s="30"/>
      <c r="K32" s="30"/>
      <c r="L32" s="30"/>
      <c r="M32" s="11">
        <f>SUM(F32:L32)</f>
        <v>0</v>
      </c>
      <c r="N32" s="23" t="str">
        <f>IF(M32=0,"",_xlfn.RANK.EQ($M32,$M$11:$M$65)+COUNTIFS($M$11:$M$65,$M32,$E$11:$E$65,"&gt;"&amp;$E32))</f>
        <v/>
      </c>
      <c r="O32" s="30"/>
      <c r="P32" s="30"/>
      <c r="Q32" s="30"/>
      <c r="R32" s="12" t="str">
        <f>IF(ISBLANK(P32),"",IF(P32&gt;=3,"0",IF(P32=2,"25",IF(P32&lt;=1,"50"))))</f>
        <v/>
      </c>
    </row>
    <row r="33" spans="2:18" ht="18" thickTop="1" thickBot="1" x14ac:dyDescent="0.25">
      <c r="B33" s="14"/>
      <c r="C33" s="15"/>
      <c r="D33" s="2"/>
      <c r="E33" s="34"/>
      <c r="F33" s="30"/>
      <c r="G33" s="30"/>
      <c r="H33" s="30"/>
      <c r="I33" s="30"/>
      <c r="J33" s="30"/>
      <c r="K33" s="30"/>
      <c r="L33" s="30"/>
      <c r="M33" s="11">
        <f>SUM(F33:L33)</f>
        <v>0</v>
      </c>
      <c r="N33" s="23" t="str">
        <f>IF(M33=0,"",_xlfn.RANK.EQ($M33,$M$11:$M$65)+COUNTIFS($M$11:$M$65,$M33,$E$11:$E$65,"&gt;"&amp;$E33))</f>
        <v/>
      </c>
      <c r="O33" s="30"/>
      <c r="P33" s="30"/>
      <c r="Q33" s="30"/>
      <c r="R33" s="12" t="str">
        <f>IF(ISBLANK(P33),"",IF(P33&gt;=3,"0",IF(P33=2,"25",IF(P33&lt;=1,"50"))))</f>
        <v/>
      </c>
    </row>
    <row r="34" spans="2:18" ht="18" thickTop="1" thickBot="1" x14ac:dyDescent="0.25">
      <c r="B34" s="14"/>
      <c r="C34" s="15"/>
      <c r="D34" s="2"/>
      <c r="E34" s="34"/>
      <c r="F34" s="30"/>
      <c r="G34" s="30"/>
      <c r="H34" s="30"/>
      <c r="I34" s="30"/>
      <c r="J34" s="30"/>
      <c r="K34" s="30"/>
      <c r="L34" s="30"/>
      <c r="M34" s="11">
        <f>SUM(F34:L34)</f>
        <v>0</v>
      </c>
      <c r="N34" s="23" t="str">
        <f>IF(M34=0,"",_xlfn.RANK.EQ($M34,$M$11:$M$65)+COUNTIFS($M$11:$M$65,$M34,$E$11:$E$65,"&gt;"&amp;$E34))</f>
        <v/>
      </c>
      <c r="O34" s="30"/>
      <c r="P34" s="30"/>
      <c r="Q34" s="30"/>
      <c r="R34" s="12" t="str">
        <f>IF(ISBLANK(P34),"",IF(P34&gt;=3,"0",IF(P34=2,"25",IF(P34&lt;=1,"50"))))</f>
        <v/>
      </c>
    </row>
    <row r="35" spans="2:18" ht="18" thickTop="1" thickBot="1" x14ac:dyDescent="0.25">
      <c r="B35" s="14"/>
      <c r="C35" s="15"/>
      <c r="D35" s="2"/>
      <c r="E35" s="34"/>
      <c r="F35" s="30"/>
      <c r="G35" s="30"/>
      <c r="H35" s="30"/>
      <c r="I35" s="30"/>
      <c r="J35" s="30"/>
      <c r="K35" s="30"/>
      <c r="L35" s="30"/>
      <c r="M35" s="11">
        <f>SUM(F35:L35)</f>
        <v>0</v>
      </c>
      <c r="N35" s="23" t="str">
        <f>IF(M35=0,"",_xlfn.RANK.EQ($M35,$M$11:$M$65)+COUNTIFS($M$11:$M$65,$M35,$E$11:$E$65,"&gt;"&amp;$E35))</f>
        <v/>
      </c>
      <c r="O35" s="30"/>
      <c r="P35" s="30"/>
      <c r="Q35" s="30"/>
      <c r="R35" s="12" t="str">
        <f>IF(ISBLANK(P35),"",IF(P35&gt;=3,"0",IF(P35=2,"25",IF(P35&lt;=1,"50"))))</f>
        <v/>
      </c>
    </row>
    <row r="36" spans="2:18" ht="18" thickTop="1" thickBot="1" x14ac:dyDescent="0.25">
      <c r="B36" s="14"/>
      <c r="C36" s="15"/>
      <c r="D36" s="2"/>
      <c r="E36" s="34"/>
      <c r="F36" s="30"/>
      <c r="G36" s="30"/>
      <c r="H36" s="30"/>
      <c r="I36" s="30"/>
      <c r="J36" s="30"/>
      <c r="K36" s="30"/>
      <c r="L36" s="30"/>
      <c r="M36" s="11">
        <f>SUM(F36:L36)</f>
        <v>0</v>
      </c>
      <c r="N36" s="23" t="str">
        <f>IF(M36=0,"",_xlfn.RANK.EQ($M36,$M$11:$M$65)+COUNTIFS($M$11:$M$65,$M36,$E$11:$E$65,"&gt;"&amp;$E36))</f>
        <v/>
      </c>
      <c r="O36" s="30"/>
      <c r="P36" s="30"/>
      <c r="Q36" s="30"/>
      <c r="R36" s="12" t="str">
        <f>IF(ISBLANK(P36),"",IF(P36&gt;=3,"0",IF(P36=2,"25",IF(P36&lt;=1,"50"))))</f>
        <v/>
      </c>
    </row>
    <row r="37" spans="2:18" ht="18" thickTop="1" thickBot="1" x14ac:dyDescent="0.25">
      <c r="B37" s="14"/>
      <c r="C37" s="15"/>
      <c r="D37" s="2"/>
      <c r="E37" s="34"/>
      <c r="F37" s="30"/>
      <c r="G37" s="30"/>
      <c r="H37" s="30"/>
      <c r="I37" s="30"/>
      <c r="J37" s="30"/>
      <c r="K37" s="30"/>
      <c r="L37" s="30"/>
      <c r="M37" s="11">
        <f>SUM(F37:L37)</f>
        <v>0</v>
      </c>
      <c r="N37" s="23" t="str">
        <f>IF(M37=0,"",_xlfn.RANK.EQ($M37,$M$11:$M$65)+COUNTIFS($M$11:$M$65,$M37,$E$11:$E$65,"&gt;"&amp;$E37))</f>
        <v/>
      </c>
      <c r="O37" s="30"/>
      <c r="P37" s="30"/>
      <c r="Q37" s="30"/>
      <c r="R37" s="12" t="str">
        <f>IF(ISBLANK(P37),"",IF(P37&gt;=3,"0",IF(P37=2,"25",IF(P37&lt;=1,"50"))))</f>
        <v/>
      </c>
    </row>
    <row r="38" spans="2:18" ht="18" thickTop="1" thickBot="1" x14ac:dyDescent="0.25">
      <c r="B38" s="14"/>
      <c r="C38" s="15"/>
      <c r="D38" s="2"/>
      <c r="E38" s="34"/>
      <c r="F38" s="30"/>
      <c r="G38" s="30"/>
      <c r="H38" s="30"/>
      <c r="I38" s="30"/>
      <c r="J38" s="30"/>
      <c r="K38" s="30"/>
      <c r="L38" s="30"/>
      <c r="M38" s="11">
        <f>SUM(F38:L38)</f>
        <v>0</v>
      </c>
      <c r="N38" s="23" t="str">
        <f>IF(M38=0,"",_xlfn.RANK.EQ($M38,$M$11:$M$65)+COUNTIFS($M$11:$M$65,$M38,$E$11:$E$65,"&gt;"&amp;$E38))</f>
        <v/>
      </c>
      <c r="O38" s="30"/>
      <c r="P38" s="30"/>
      <c r="Q38" s="30"/>
      <c r="R38" s="12" t="str">
        <f>IF(ISBLANK(P38),"",IF(P38&gt;=3,"0",IF(P38=2,"25",IF(P38&lt;=1,"50"))))</f>
        <v/>
      </c>
    </row>
    <row r="39" spans="2:18" ht="18" thickTop="1" thickBot="1" x14ac:dyDescent="0.25">
      <c r="B39" s="14"/>
      <c r="C39" s="15"/>
      <c r="D39" s="2"/>
      <c r="E39" s="34"/>
      <c r="F39" s="30"/>
      <c r="G39" s="30"/>
      <c r="H39" s="30"/>
      <c r="I39" s="30"/>
      <c r="J39" s="30"/>
      <c r="K39" s="30"/>
      <c r="L39" s="30"/>
      <c r="M39" s="11">
        <f>SUM(F39:L39)</f>
        <v>0</v>
      </c>
      <c r="N39" s="23" t="str">
        <f>IF(M39=0,"",_xlfn.RANK.EQ($M39,$M$11:$M$65)+COUNTIFS($M$11:$M$65,$M39,$E$11:$E$65,"&gt;"&amp;$E39))</f>
        <v/>
      </c>
      <c r="O39" s="30"/>
      <c r="P39" s="30"/>
      <c r="Q39" s="30"/>
      <c r="R39" s="12" t="str">
        <f>IF(ISBLANK(P39),"",IF(P39&gt;=3,"0",IF(P39=2,"25",IF(P39&lt;=1,"50"))))</f>
        <v/>
      </c>
    </row>
    <row r="40" spans="2:18" ht="18" thickTop="1" thickBot="1" x14ac:dyDescent="0.25">
      <c r="B40" s="14"/>
      <c r="C40" s="15"/>
      <c r="D40" s="2"/>
      <c r="E40" s="34"/>
      <c r="F40" s="30"/>
      <c r="G40" s="30"/>
      <c r="H40" s="30"/>
      <c r="I40" s="30"/>
      <c r="J40" s="30"/>
      <c r="K40" s="30"/>
      <c r="L40" s="30"/>
      <c r="M40" s="11">
        <f>SUM(F40:L40)</f>
        <v>0</v>
      </c>
      <c r="N40" s="23" t="str">
        <f>IF(M40=0,"",_xlfn.RANK.EQ($M40,$M$11:$M$65)+COUNTIFS($M$11:$M$65,$M40,$E$11:$E$65,"&gt;"&amp;$E40))</f>
        <v/>
      </c>
      <c r="O40" s="30"/>
      <c r="P40" s="30"/>
      <c r="Q40" s="30"/>
      <c r="R40" s="12" t="str">
        <f>IF(ISBLANK(P40),"",IF(P40&gt;=3,"0",IF(P40=2,"25",IF(P40&lt;=1,"50"))))</f>
        <v/>
      </c>
    </row>
    <row r="41" spans="2:18" ht="18" thickTop="1" thickBot="1" x14ac:dyDescent="0.25">
      <c r="B41" s="14"/>
      <c r="C41" s="15"/>
      <c r="D41" s="2"/>
      <c r="E41" s="34"/>
      <c r="F41" s="30"/>
      <c r="G41" s="30"/>
      <c r="H41" s="30"/>
      <c r="I41" s="30"/>
      <c r="J41" s="30"/>
      <c r="K41" s="30"/>
      <c r="L41" s="30"/>
      <c r="M41" s="11">
        <f>SUM(F41:L41)</f>
        <v>0</v>
      </c>
      <c r="N41" s="23" t="str">
        <f>IF(M41=0,"",_xlfn.RANK.EQ($M41,$M$11:$M$65)+COUNTIFS($M$11:$M$65,$M41,$E$11:$E$65,"&gt;"&amp;$E41))</f>
        <v/>
      </c>
      <c r="O41" s="30"/>
      <c r="P41" s="30"/>
      <c r="Q41" s="30"/>
      <c r="R41" s="12" t="str">
        <f>IF(ISBLANK(P41),"",IF(P41&gt;=3,"0",IF(P41=2,"25",IF(P41&lt;=1,"50"))))</f>
        <v/>
      </c>
    </row>
    <row r="42" spans="2:18" ht="18" thickTop="1" thickBot="1" x14ac:dyDescent="0.25">
      <c r="B42" s="14"/>
      <c r="C42" s="15"/>
      <c r="D42" s="2"/>
      <c r="E42" s="34"/>
      <c r="F42" s="30"/>
      <c r="G42" s="30"/>
      <c r="H42" s="30"/>
      <c r="I42" s="30"/>
      <c r="J42" s="30"/>
      <c r="K42" s="30"/>
      <c r="L42" s="30"/>
      <c r="M42" s="11">
        <f>SUM(F42:L42)</f>
        <v>0</v>
      </c>
      <c r="N42" s="23" t="str">
        <f>IF(M42=0,"",_xlfn.RANK.EQ($M42,$M$11:$M$65)+COUNTIFS($M$11:$M$65,$M42,$E$11:$E$65,"&gt;"&amp;$E42))</f>
        <v/>
      </c>
      <c r="O42" s="30"/>
      <c r="P42" s="30"/>
      <c r="Q42" s="30"/>
      <c r="R42" s="12" t="str">
        <f>IF(ISBLANK(P42),"",IF(P42&gt;=3,"0",IF(P42=2,"25",IF(P42&lt;=1,"50"))))</f>
        <v/>
      </c>
    </row>
    <row r="43" spans="2:18" ht="18" thickTop="1" thickBot="1" x14ac:dyDescent="0.25">
      <c r="B43" s="14"/>
      <c r="C43" s="15"/>
      <c r="D43" s="1"/>
      <c r="E43" s="28"/>
      <c r="F43" s="29"/>
      <c r="G43" s="30"/>
      <c r="H43" s="30"/>
      <c r="I43" s="30"/>
      <c r="J43" s="30"/>
      <c r="K43" s="30"/>
      <c r="L43" s="30"/>
      <c r="M43" s="11">
        <f>SUM(F43:L43)</f>
        <v>0</v>
      </c>
      <c r="N43" s="23" t="str">
        <f>IF(M43=0,"",_xlfn.RANK.EQ($M43,$M$11:$M$65)+COUNTIFS($M$11:$M$65,$M43,$E$11:$E$65,"&gt;"&amp;$E43))</f>
        <v/>
      </c>
      <c r="O43" s="30"/>
      <c r="P43" s="30"/>
      <c r="Q43" s="30"/>
      <c r="R43" s="12" t="str">
        <f>IF(ISBLANK(P43),"",IF(P43&gt;=3,"0",IF(P43=2,"25",IF(P43&lt;=1,"50"))))</f>
        <v/>
      </c>
    </row>
    <row r="44" spans="2:18" ht="18" thickTop="1" thickBot="1" x14ac:dyDescent="0.25">
      <c r="B44" s="14"/>
      <c r="C44" s="15"/>
      <c r="D44" s="1"/>
      <c r="E44" s="28"/>
      <c r="F44" s="29"/>
      <c r="G44" s="30"/>
      <c r="H44" s="30"/>
      <c r="I44" s="30"/>
      <c r="J44" s="30"/>
      <c r="K44" s="30"/>
      <c r="L44" s="30"/>
      <c r="M44" s="11">
        <f>SUM(F44:L44)</f>
        <v>0</v>
      </c>
      <c r="N44" s="23" t="str">
        <f>IF(M44=0,"",_xlfn.RANK.EQ($M44,$M$11:$M$65)+COUNTIFS($M$11:$M$65,$M44,$E$11:$E$65,"&gt;"&amp;$E44))</f>
        <v/>
      </c>
      <c r="O44" s="30"/>
      <c r="P44" s="30"/>
      <c r="Q44" s="30"/>
      <c r="R44" s="12" t="str">
        <f>IF(ISBLANK(P44),"",IF(P44&gt;=3,"0",IF(P44=2,"25",IF(P44&lt;=1,"50"))))</f>
        <v/>
      </c>
    </row>
    <row r="45" spans="2:18" ht="18" thickTop="1" thickBot="1" x14ac:dyDescent="0.25">
      <c r="B45" s="14"/>
      <c r="C45" s="15"/>
      <c r="D45" s="1"/>
      <c r="E45" s="28"/>
      <c r="F45" s="29"/>
      <c r="G45" s="30"/>
      <c r="H45" s="30"/>
      <c r="I45" s="30"/>
      <c r="J45" s="30"/>
      <c r="K45" s="30"/>
      <c r="L45" s="30"/>
      <c r="M45" s="11">
        <f>SUM(F45:L45)</f>
        <v>0</v>
      </c>
      <c r="N45" s="23" t="str">
        <f>IF(M45=0,"",_xlfn.RANK.EQ($M45,$M$11:$M$65)+COUNTIFS($M$11:$M$65,$M45,$E$11:$E$65,"&gt;"&amp;$E45))</f>
        <v/>
      </c>
      <c r="O45" s="30"/>
      <c r="P45" s="30"/>
      <c r="Q45" s="30"/>
      <c r="R45" s="12" t="str">
        <f>IF(ISBLANK(P45),"",IF(P45&gt;=3,"0",IF(P45=2,"25",IF(P45&lt;=1,"50"))))</f>
        <v/>
      </c>
    </row>
    <row r="46" spans="2:18" ht="18" thickTop="1" thickBot="1" x14ac:dyDescent="0.25">
      <c r="B46" s="14"/>
      <c r="C46" s="15"/>
      <c r="D46" s="1"/>
      <c r="E46" s="28"/>
      <c r="F46" s="29"/>
      <c r="G46" s="30"/>
      <c r="H46" s="30"/>
      <c r="I46" s="30"/>
      <c r="J46" s="30"/>
      <c r="K46" s="30"/>
      <c r="L46" s="30"/>
      <c r="M46" s="11">
        <f>SUM(F46:L46)</f>
        <v>0</v>
      </c>
      <c r="N46" s="23" t="str">
        <f>IF(M46=0,"",_xlfn.RANK.EQ($M46,$M$11:$M$65)+COUNTIFS($M$11:$M$65,$M46,$E$11:$E$65,"&gt;"&amp;$E46))</f>
        <v/>
      </c>
      <c r="O46" s="30"/>
      <c r="P46" s="30"/>
      <c r="Q46" s="30"/>
      <c r="R46" s="12" t="str">
        <f>IF(ISBLANK(P46),"",IF(P46&gt;=3,"0",IF(P46=2,"25",IF(P46&lt;=1,"50"))))</f>
        <v/>
      </c>
    </row>
    <row r="47" spans="2:18" ht="18" thickTop="1" thickBot="1" x14ac:dyDescent="0.25">
      <c r="B47" s="14"/>
      <c r="C47" s="15"/>
      <c r="D47" s="1"/>
      <c r="E47" s="28"/>
      <c r="F47" s="29"/>
      <c r="G47" s="30"/>
      <c r="H47" s="30"/>
      <c r="I47" s="30"/>
      <c r="J47" s="30"/>
      <c r="K47" s="30"/>
      <c r="L47" s="30"/>
      <c r="M47" s="11">
        <f>SUM(F47:L47)</f>
        <v>0</v>
      </c>
      <c r="N47" s="23" t="str">
        <f>IF(M47=0,"",_xlfn.RANK.EQ($M47,$M$11:$M$65)+COUNTIFS($M$11:$M$65,$M47,$E$11:$E$65,"&gt;"&amp;$E47))</f>
        <v/>
      </c>
      <c r="O47" s="30"/>
      <c r="P47" s="30"/>
      <c r="Q47" s="30"/>
      <c r="R47" s="12" t="str">
        <f>IF(ISBLANK(P47),"",IF(P47&gt;=3,"0",IF(P47=2,"25",IF(P47&lt;=1,"50"))))</f>
        <v/>
      </c>
    </row>
    <row r="48" spans="2:18" ht="18" thickTop="1" thickBot="1" x14ac:dyDescent="0.25">
      <c r="B48" s="14"/>
      <c r="C48" s="15"/>
      <c r="D48" s="1"/>
      <c r="E48" s="28"/>
      <c r="F48" s="29"/>
      <c r="G48" s="30"/>
      <c r="H48" s="30"/>
      <c r="I48" s="30"/>
      <c r="J48" s="30"/>
      <c r="K48" s="30"/>
      <c r="L48" s="30"/>
      <c r="M48" s="11">
        <f>SUM(F48:L48)</f>
        <v>0</v>
      </c>
      <c r="N48" s="23" t="str">
        <f>IF(M48=0,"",_xlfn.RANK.EQ($M48,$M$11:$M$65)+COUNTIFS($M$11:$M$65,$M48,$E$11:$E$65,"&gt;"&amp;$E48))</f>
        <v/>
      </c>
      <c r="O48" s="30"/>
      <c r="P48" s="30"/>
      <c r="Q48" s="30"/>
      <c r="R48" s="12" t="str">
        <f>IF(ISBLANK(P48),"",IF(P48&gt;=3,"0",IF(P48=2,"25",IF(P48&lt;=1,"50"))))</f>
        <v/>
      </c>
    </row>
    <row r="49" spans="2:18" ht="18" thickTop="1" thickBot="1" x14ac:dyDescent="0.25">
      <c r="B49" s="14"/>
      <c r="C49" s="15"/>
      <c r="D49" s="1"/>
      <c r="E49" s="28"/>
      <c r="F49" s="29"/>
      <c r="G49" s="30"/>
      <c r="H49" s="30"/>
      <c r="I49" s="30"/>
      <c r="J49" s="30"/>
      <c r="K49" s="30"/>
      <c r="L49" s="30"/>
      <c r="M49" s="11">
        <f>SUM(F49:L49)</f>
        <v>0</v>
      </c>
      <c r="N49" s="23" t="str">
        <f>IF(M49=0,"",_xlfn.RANK.EQ($M49,$M$11:$M$65)+COUNTIFS($M$11:$M$65,$M49,$E$11:$E$65,"&gt;"&amp;$E49))</f>
        <v/>
      </c>
      <c r="O49" s="30"/>
      <c r="P49" s="30"/>
      <c r="Q49" s="30"/>
      <c r="R49" s="12" t="str">
        <f>IF(ISBLANK(P49),"",IF(P49&gt;=3,"0",IF(P49=2,"25",IF(P49&lt;=1,"50"))))</f>
        <v/>
      </c>
    </row>
    <row r="50" spans="2:18" ht="18" thickTop="1" thickBot="1" x14ac:dyDescent="0.25">
      <c r="B50" s="14"/>
      <c r="C50" s="15"/>
      <c r="D50" s="1"/>
      <c r="E50" s="28"/>
      <c r="F50" s="29"/>
      <c r="G50" s="30"/>
      <c r="H50" s="30"/>
      <c r="I50" s="30"/>
      <c r="J50" s="30"/>
      <c r="K50" s="30"/>
      <c r="L50" s="30"/>
      <c r="M50" s="11">
        <f>SUM(F50:L50)</f>
        <v>0</v>
      </c>
      <c r="N50" s="23" t="str">
        <f>IF(M50=0,"",_xlfn.RANK.EQ($M50,$M$11:$M$65)+COUNTIFS($M$11:$M$65,$M50,$E$11:$E$65,"&gt;"&amp;$E50))</f>
        <v/>
      </c>
      <c r="O50" s="30"/>
      <c r="P50" s="30"/>
      <c r="Q50" s="30"/>
      <c r="R50" s="12" t="str">
        <f>IF(ISBLANK(P50),"",IF(P50&gt;=3,"0",IF(P50=2,"25",IF(P50&lt;=1,"50"))))</f>
        <v/>
      </c>
    </row>
    <row r="51" spans="2:18" ht="18" thickTop="1" thickBot="1" x14ac:dyDescent="0.25">
      <c r="B51" s="14"/>
      <c r="C51" s="15"/>
      <c r="D51" s="1"/>
      <c r="E51" s="28"/>
      <c r="F51" s="29"/>
      <c r="G51" s="30"/>
      <c r="H51" s="30"/>
      <c r="I51" s="30"/>
      <c r="J51" s="30"/>
      <c r="K51" s="30"/>
      <c r="L51" s="30"/>
      <c r="M51" s="11">
        <f>SUM(F51:L51)</f>
        <v>0</v>
      </c>
      <c r="N51" s="23" t="str">
        <f>IF(M51=0,"",_xlfn.RANK.EQ($M51,$M$11:$M$65)+COUNTIFS($M$11:$M$65,$M51,$E$11:$E$65,"&gt;"&amp;$E51))</f>
        <v/>
      </c>
      <c r="O51" s="30"/>
      <c r="P51" s="30"/>
      <c r="Q51" s="30"/>
      <c r="R51" s="12" t="str">
        <f>IF(ISBLANK(P51),"",IF(P51&gt;=3,"0",IF(P51=2,"25",IF(P51&lt;=1,"50"))))</f>
        <v/>
      </c>
    </row>
    <row r="52" spans="2:18" ht="18" thickTop="1" thickBot="1" x14ac:dyDescent="0.25">
      <c r="B52" s="14"/>
      <c r="C52" s="15"/>
      <c r="D52" s="1"/>
      <c r="E52" s="28"/>
      <c r="F52" s="29"/>
      <c r="G52" s="30"/>
      <c r="H52" s="30"/>
      <c r="I52" s="30"/>
      <c r="J52" s="30"/>
      <c r="K52" s="30"/>
      <c r="L52" s="30"/>
      <c r="M52" s="11">
        <f>SUM(F52:L52)</f>
        <v>0</v>
      </c>
      <c r="N52" s="23" t="str">
        <f>IF(M52=0,"",_xlfn.RANK.EQ($M52,$M$11:$M$65)+COUNTIFS($M$11:$M$65,$M52,$E$11:$E$65,"&gt;"&amp;$E52))</f>
        <v/>
      </c>
      <c r="O52" s="30"/>
      <c r="P52" s="30"/>
      <c r="Q52" s="30"/>
      <c r="R52" s="12" t="str">
        <f>IF(ISBLANK(P52),"",IF(P52&gt;=3,"0",IF(P52=2,"25",IF(P52&lt;=1,"50"))))</f>
        <v/>
      </c>
    </row>
    <row r="53" spans="2:18" ht="18" thickTop="1" thickBot="1" x14ac:dyDescent="0.25">
      <c r="B53" s="14"/>
      <c r="C53" s="15"/>
      <c r="D53" s="1"/>
      <c r="E53" s="28"/>
      <c r="F53" s="29"/>
      <c r="G53" s="30"/>
      <c r="H53" s="30"/>
      <c r="I53" s="30"/>
      <c r="J53" s="30"/>
      <c r="K53" s="30"/>
      <c r="L53" s="30"/>
      <c r="M53" s="11">
        <f>SUM(F53:L53)</f>
        <v>0</v>
      </c>
      <c r="N53" s="23" t="str">
        <f>IF(M53=0,"",_xlfn.RANK.EQ($M53,$M$11:$M$65)+COUNTIFS($M$11:$M$65,$M53,$E$11:$E$65,"&gt;"&amp;$E53))</f>
        <v/>
      </c>
      <c r="O53" s="30"/>
      <c r="P53" s="30"/>
      <c r="Q53" s="30"/>
      <c r="R53" s="12" t="str">
        <f>IF(ISBLANK(P53),"",IF(P53&gt;=3,"0",IF(P53=2,"25",IF(P53&lt;=1,"50"))))</f>
        <v/>
      </c>
    </row>
    <row r="54" spans="2:18" ht="18" thickTop="1" thickBot="1" x14ac:dyDescent="0.25">
      <c r="B54" s="14"/>
      <c r="C54" s="15"/>
      <c r="D54" s="1"/>
      <c r="E54" s="28"/>
      <c r="F54" s="29"/>
      <c r="G54" s="30"/>
      <c r="H54" s="30"/>
      <c r="I54" s="30"/>
      <c r="J54" s="30"/>
      <c r="K54" s="30"/>
      <c r="L54" s="30"/>
      <c r="M54" s="11">
        <f>SUM(F54:L54)</f>
        <v>0</v>
      </c>
      <c r="N54" s="23" t="str">
        <f>IF(M54=0,"",_xlfn.RANK.EQ($M54,$M$11:$M$65)+COUNTIFS($M$11:$M$65,$M54,$E$11:$E$65,"&gt;"&amp;$E54))</f>
        <v/>
      </c>
      <c r="O54" s="30"/>
      <c r="P54" s="30"/>
      <c r="Q54" s="30"/>
      <c r="R54" s="12" t="str">
        <f>IF(ISBLANK(P54),"",IF(P54&gt;=3,"0",IF(P54=2,"25",IF(P54&lt;=1,"50"))))</f>
        <v/>
      </c>
    </row>
    <row r="55" spans="2:18" ht="18" thickTop="1" thickBot="1" x14ac:dyDescent="0.25">
      <c r="B55" s="14"/>
      <c r="C55" s="15"/>
      <c r="D55" s="1"/>
      <c r="E55" s="28"/>
      <c r="F55" s="29"/>
      <c r="G55" s="30"/>
      <c r="H55" s="30"/>
      <c r="I55" s="30"/>
      <c r="J55" s="30"/>
      <c r="K55" s="30"/>
      <c r="L55" s="30"/>
      <c r="M55" s="11">
        <f>SUM(F55:L55)</f>
        <v>0</v>
      </c>
      <c r="N55" s="23" t="str">
        <f>IF(M55=0,"",_xlfn.RANK.EQ($M55,$M$11:$M$65)+COUNTIFS($M$11:$M$65,$M55,$E$11:$E$65,"&gt;"&amp;$E55))</f>
        <v/>
      </c>
      <c r="O55" s="30"/>
      <c r="P55" s="30"/>
      <c r="Q55" s="30"/>
      <c r="R55" s="12" t="str">
        <f>IF(ISBLANK(P55),"",IF(P55&gt;=3,"0",IF(P55=2,"25",IF(P55&lt;=1,"50"))))</f>
        <v/>
      </c>
    </row>
    <row r="56" spans="2:18" ht="18" thickTop="1" thickBot="1" x14ac:dyDescent="0.25">
      <c r="B56" s="14"/>
      <c r="C56" s="15"/>
      <c r="D56" s="1"/>
      <c r="E56" s="28"/>
      <c r="F56" s="29"/>
      <c r="G56" s="30"/>
      <c r="H56" s="30"/>
      <c r="I56" s="30"/>
      <c r="J56" s="30"/>
      <c r="K56" s="30"/>
      <c r="L56" s="30"/>
      <c r="M56" s="11">
        <f>SUM(F56:L56)</f>
        <v>0</v>
      </c>
      <c r="N56" s="23" t="str">
        <f>IF(M56=0,"",_xlfn.RANK.EQ($M56,$M$11:$M$65)+COUNTIFS($M$11:$M$65,$M56,$E$11:$E$65,"&gt;"&amp;$E56))</f>
        <v/>
      </c>
      <c r="O56" s="30"/>
      <c r="P56" s="30"/>
      <c r="Q56" s="30"/>
      <c r="R56" s="12" t="str">
        <f>IF(ISBLANK(P56),"",IF(P56&gt;=3,"0",IF(P56=2,"25",IF(P56&lt;=1,"50"))))</f>
        <v/>
      </c>
    </row>
    <row r="57" spans="2:18" ht="18" thickTop="1" thickBot="1" x14ac:dyDescent="0.25">
      <c r="B57" s="14"/>
      <c r="C57" s="15"/>
      <c r="D57" s="1"/>
      <c r="E57" s="28"/>
      <c r="F57" s="29"/>
      <c r="G57" s="30"/>
      <c r="H57" s="30"/>
      <c r="I57" s="30"/>
      <c r="J57" s="30"/>
      <c r="K57" s="30"/>
      <c r="L57" s="30"/>
      <c r="M57" s="11">
        <f>SUM(F57:L57)</f>
        <v>0</v>
      </c>
      <c r="N57" s="23" t="str">
        <f>IF(M57=0,"",_xlfn.RANK.EQ($M57,$M$11:$M$65)+COUNTIFS($M$11:$M$65,$M57,$E$11:$E$65,"&gt;"&amp;$E57))</f>
        <v/>
      </c>
      <c r="O57" s="30"/>
      <c r="P57" s="30"/>
      <c r="Q57" s="30"/>
      <c r="R57" s="12" t="str">
        <f>IF(ISBLANK(P57),"",IF(P57&gt;=3,"0",IF(P57=2,"25",IF(P57&lt;=1,"50"))))</f>
        <v/>
      </c>
    </row>
    <row r="58" spans="2:18" ht="18" thickTop="1" thickBot="1" x14ac:dyDescent="0.25">
      <c r="B58" s="14"/>
      <c r="C58" s="15"/>
      <c r="D58" s="1"/>
      <c r="E58" s="28"/>
      <c r="F58" s="29"/>
      <c r="G58" s="30"/>
      <c r="H58" s="30"/>
      <c r="I58" s="30"/>
      <c r="J58" s="30"/>
      <c r="K58" s="30"/>
      <c r="L58" s="30"/>
      <c r="M58" s="11">
        <f>SUM(F58:L58)</f>
        <v>0</v>
      </c>
      <c r="N58" s="23" t="str">
        <f>IF(M58=0,"",_xlfn.RANK.EQ($M58,$M$11:$M$65)+COUNTIFS($M$11:$M$65,$M58,$E$11:$E$65,"&gt;"&amp;$E58))</f>
        <v/>
      </c>
      <c r="O58" s="30"/>
      <c r="P58" s="30"/>
      <c r="Q58" s="30"/>
      <c r="R58" s="12" t="str">
        <f>IF(ISBLANK(P58),"",IF(P58&gt;=3,"0",IF(P58=2,"25",IF(P58&lt;=1,"50"))))</f>
        <v/>
      </c>
    </row>
    <row r="59" spans="2:18" ht="18" thickTop="1" thickBot="1" x14ac:dyDescent="0.25">
      <c r="B59" s="14"/>
      <c r="C59" s="15"/>
      <c r="D59" s="1"/>
      <c r="E59" s="28"/>
      <c r="F59" s="29"/>
      <c r="G59" s="30"/>
      <c r="H59" s="30"/>
      <c r="I59" s="30"/>
      <c r="J59" s="30"/>
      <c r="K59" s="30"/>
      <c r="L59" s="30"/>
      <c r="M59" s="11">
        <f>SUM(F59:L59)</f>
        <v>0</v>
      </c>
      <c r="N59" s="23" t="str">
        <f>IF(M59=0,"",_xlfn.RANK.EQ($M59,$M$11:$M$65)+COUNTIFS($M$11:$M$65,$M59,$E$11:$E$65,"&gt;"&amp;$E59))</f>
        <v/>
      </c>
      <c r="O59" s="30"/>
      <c r="P59" s="30"/>
      <c r="Q59" s="30"/>
      <c r="R59" s="12" t="str">
        <f>IF(ISBLANK(P59),"",IF(P59&gt;=3,"0",IF(P59=2,"25",IF(P59&lt;=1,"50"))))</f>
        <v/>
      </c>
    </row>
    <row r="60" spans="2:18" ht="18" thickTop="1" thickBot="1" x14ac:dyDescent="0.25">
      <c r="B60" s="14"/>
      <c r="C60" s="15"/>
      <c r="D60" s="1"/>
      <c r="E60" s="28"/>
      <c r="F60" s="29"/>
      <c r="G60" s="30"/>
      <c r="H60" s="30"/>
      <c r="I60" s="30"/>
      <c r="J60" s="30"/>
      <c r="K60" s="30"/>
      <c r="L60" s="30"/>
      <c r="M60" s="11">
        <f>SUM(F60:L60)</f>
        <v>0</v>
      </c>
      <c r="N60" s="23" t="str">
        <f>IF(M60=0,"",_xlfn.RANK.EQ($M60,$M$11:$M$65)+COUNTIFS($M$11:$M$65,$M60,$E$11:$E$65,"&gt;"&amp;$E60))</f>
        <v/>
      </c>
      <c r="O60" s="30"/>
      <c r="P60" s="30"/>
      <c r="Q60" s="30"/>
      <c r="R60" s="12" t="str">
        <f>IF(ISBLANK(P60),"",IF(P60&gt;=3,"0",IF(P60=2,"25",IF(P60&lt;=1,"50"))))</f>
        <v/>
      </c>
    </row>
    <row r="61" spans="2:18" ht="18" thickTop="1" thickBot="1" x14ac:dyDescent="0.25">
      <c r="B61" s="14"/>
      <c r="C61" s="15"/>
      <c r="D61" s="1"/>
      <c r="E61" s="28"/>
      <c r="F61" s="29"/>
      <c r="G61" s="30"/>
      <c r="H61" s="30"/>
      <c r="I61" s="30"/>
      <c r="J61" s="30"/>
      <c r="K61" s="30"/>
      <c r="L61" s="30"/>
      <c r="M61" s="11">
        <f>SUM(F61:L61)</f>
        <v>0</v>
      </c>
      <c r="N61" s="23" t="str">
        <f>IF(M61=0,"",_xlfn.RANK.EQ($M61,$M$11:$M$65)+COUNTIFS($M$11:$M$65,$M61,$E$11:$E$65,"&gt;"&amp;$E61))</f>
        <v/>
      </c>
      <c r="O61" s="30"/>
      <c r="P61" s="30"/>
      <c r="Q61" s="30"/>
      <c r="R61" s="12" t="str">
        <f>IF(ISBLANK(P61),"",IF(P61&gt;=3,"0",IF(P61=2,"25",IF(P61&lt;=1,"50"))))</f>
        <v/>
      </c>
    </row>
    <row r="62" spans="2:18" ht="18" thickTop="1" thickBot="1" x14ac:dyDescent="0.25">
      <c r="B62" s="14"/>
      <c r="C62" s="15"/>
      <c r="D62" s="1"/>
      <c r="E62" s="28"/>
      <c r="F62" s="29"/>
      <c r="G62" s="30"/>
      <c r="H62" s="30"/>
      <c r="I62" s="30"/>
      <c r="J62" s="30"/>
      <c r="K62" s="30"/>
      <c r="L62" s="30"/>
      <c r="M62" s="11">
        <f>SUM(F62:L62)</f>
        <v>0</v>
      </c>
      <c r="N62" s="23" t="str">
        <f>IF(M62=0,"",_xlfn.RANK.EQ($M62,$M$11:$M$65)+COUNTIFS($M$11:$M$65,$M62,$E$11:$E$65,"&gt;"&amp;$E62))</f>
        <v/>
      </c>
      <c r="O62" s="30"/>
      <c r="P62" s="30"/>
      <c r="Q62" s="30"/>
      <c r="R62" s="12" t="str">
        <f>IF(ISBLANK(P62),"",IF(P62&gt;=3,"0",IF(P62=2,"25",IF(P62&lt;=1,"50"))))</f>
        <v/>
      </c>
    </row>
    <row r="63" spans="2:18" ht="18" thickTop="1" thickBot="1" x14ac:dyDescent="0.25">
      <c r="B63" s="14"/>
      <c r="C63" s="15"/>
      <c r="D63" s="1"/>
      <c r="E63" s="28"/>
      <c r="F63" s="29"/>
      <c r="G63" s="30"/>
      <c r="H63" s="30"/>
      <c r="I63" s="30"/>
      <c r="J63" s="30"/>
      <c r="K63" s="30"/>
      <c r="L63" s="30"/>
      <c r="M63" s="11">
        <f>SUM(F63:L63)</f>
        <v>0</v>
      </c>
      <c r="N63" s="23" t="str">
        <f>IF(M63=0,"",_xlfn.RANK.EQ($M63,$M$11:$M$65)+COUNTIFS($M$11:$M$65,$M63,$E$11:$E$65,"&gt;"&amp;$E63))</f>
        <v/>
      </c>
      <c r="O63" s="30"/>
      <c r="P63" s="30"/>
      <c r="Q63" s="30"/>
      <c r="R63" s="12" t="str">
        <f>IF(ISBLANK(P63),"",IF(P63&gt;=3,"0",IF(P63=2,"25",IF(P63&lt;=1,"50"))))</f>
        <v/>
      </c>
    </row>
    <row r="64" spans="2:18" ht="18" thickTop="1" thickBot="1" x14ac:dyDescent="0.25">
      <c r="B64" s="14"/>
      <c r="C64" s="15"/>
      <c r="D64" s="1"/>
      <c r="E64" s="28"/>
      <c r="F64" s="29"/>
      <c r="G64" s="30"/>
      <c r="H64" s="30"/>
      <c r="I64" s="30"/>
      <c r="J64" s="30"/>
      <c r="K64" s="30"/>
      <c r="L64" s="30"/>
      <c r="M64" s="11">
        <f>SUM(F64:L64)</f>
        <v>0</v>
      </c>
      <c r="N64" s="23" t="str">
        <f>IF(M64=0,"",_xlfn.RANK.EQ($M64,$M$11:$M$65)+COUNTIFS($M$11:$M$65,$M64,$E$11:$E$65,"&gt;"&amp;$E64))</f>
        <v/>
      </c>
      <c r="O64" s="30"/>
      <c r="P64" s="30"/>
      <c r="Q64" s="30"/>
      <c r="R64" s="12" t="str">
        <f>IF(ISBLANK(P64),"",IF(P64&gt;=3,"0",IF(P64=2,"25",IF(P64&lt;=1,"50"))))</f>
        <v/>
      </c>
    </row>
    <row r="65" spans="2:18" ht="18" thickTop="1" thickBot="1" x14ac:dyDescent="0.25">
      <c r="B65" s="20"/>
      <c r="C65" s="21"/>
      <c r="D65" s="22"/>
      <c r="E65" s="31"/>
      <c r="F65" s="32"/>
      <c r="G65" s="33"/>
      <c r="H65" s="33"/>
      <c r="I65" s="33"/>
      <c r="J65" s="33"/>
      <c r="K65" s="33"/>
      <c r="L65" s="33"/>
      <c r="M65" s="11">
        <f>SUM(F65:L65)</f>
        <v>0</v>
      </c>
      <c r="N65" s="23" t="str">
        <f>IF(M65=0,"",_xlfn.RANK.EQ($M65,$M$11:$M$65)+COUNTIFS($M$11:$M$65,$M65,$E$11:$E$65,"&gt;"&amp;$E65))</f>
        <v/>
      </c>
      <c r="O65" s="33"/>
      <c r="P65" s="33"/>
      <c r="Q65" s="33"/>
      <c r="R65" s="12" t="str">
        <f>IF(ISBLANK(P65),"",IF(P65&gt;=3,"0",IF(P65=2,"25",IF(P65&lt;=1,"50"))))</f>
        <v/>
      </c>
    </row>
    <row r="66" spans="2:18" ht="16" thickTop="1" x14ac:dyDescent="0.2"/>
  </sheetData>
  <conditionalFormatting sqref="M11:M1048576">
    <cfRule type="cellIs" dxfId="38" priority="25" operator="between">
      <formula>1</formula>
      <formula>7</formula>
    </cfRule>
    <cfRule type="cellIs" dxfId="37" priority="26" operator="between">
      <formula>8</formula>
      <formula>10</formula>
    </cfRule>
    <cfRule type="cellIs" dxfId="36" priority="27" operator="greaterThanOrEqual">
      <formula>11</formula>
    </cfRule>
  </conditionalFormatting>
  <conditionalFormatting sqref="P66:P1048576">
    <cfRule type="cellIs" dxfId="35" priority="23" operator="greaterThanOrEqual">
      <formula>3</formula>
    </cfRule>
  </conditionalFormatting>
  <conditionalFormatting sqref="Q11:Q14 Q42:Q51 Q66:Q1048576">
    <cfRule type="cellIs" dxfId="34" priority="22" operator="greaterThanOrEqual">
      <formula>5</formula>
    </cfRule>
  </conditionalFormatting>
  <conditionalFormatting sqref="P10">
    <cfRule type="cellIs" dxfId="33" priority="16" operator="between">
      <formula>3</formula>
      <formula>4</formula>
    </cfRule>
  </conditionalFormatting>
  <conditionalFormatting sqref="Q10">
    <cfRule type="cellIs" dxfId="32" priority="15" operator="between">
      <formula>3</formula>
      <formula>4</formula>
    </cfRule>
  </conditionalFormatting>
  <conditionalFormatting sqref="Q15:Q41">
    <cfRule type="cellIs" dxfId="31" priority="12" operator="greaterThanOrEqual">
      <formula>5</formula>
    </cfRule>
  </conditionalFormatting>
  <conditionalFormatting sqref="P11:P51">
    <cfRule type="cellIs" dxfId="30" priority="11" operator="greaterThanOrEqual">
      <formula>3</formula>
    </cfRule>
  </conditionalFormatting>
  <conditionalFormatting sqref="M52">
    <cfRule type="cellIs" dxfId="29" priority="8" operator="between">
      <formula>1</formula>
      <formula>7</formula>
    </cfRule>
    <cfRule type="cellIs" dxfId="28" priority="9" operator="between">
      <formula>8</formula>
      <formula>10</formula>
    </cfRule>
    <cfRule type="cellIs" dxfId="27" priority="10" operator="greaterThanOrEqual">
      <formula>11</formula>
    </cfRule>
  </conditionalFormatting>
  <conditionalFormatting sqref="Q52">
    <cfRule type="cellIs" dxfId="26" priority="7" operator="greaterThanOrEqual">
      <formula>5</formula>
    </cfRule>
  </conditionalFormatting>
  <conditionalFormatting sqref="P52">
    <cfRule type="cellIs" dxfId="25" priority="6" operator="greaterThanOrEqual">
      <formula>3</formula>
    </cfRule>
  </conditionalFormatting>
  <conditionalFormatting sqref="M53:M65">
    <cfRule type="cellIs" dxfId="24" priority="3" operator="between">
      <formula>1</formula>
      <formula>7</formula>
    </cfRule>
    <cfRule type="cellIs" dxfId="23" priority="4" operator="between">
      <formula>8</formula>
      <formula>10</formula>
    </cfRule>
    <cfRule type="cellIs" dxfId="22" priority="5" operator="greaterThanOrEqual">
      <formula>11</formula>
    </cfRule>
  </conditionalFormatting>
  <conditionalFormatting sqref="Q53:Q65">
    <cfRule type="cellIs" dxfId="21" priority="2" operator="greaterThanOrEqual">
      <formula>5</formula>
    </cfRule>
  </conditionalFormatting>
  <conditionalFormatting sqref="P53:P65">
    <cfRule type="cellIs" dxfId="20" priority="1" operator="greaterThanOrEqual">
      <formula>3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Ranking">
                <anchor moveWithCells="1">
                  <from>
                    <xdr:col>15</xdr:col>
                    <xdr:colOff>63500</xdr:colOff>
                    <xdr:row>5</xdr:row>
                    <xdr:rowOff>88900</xdr:rowOff>
                  </from>
                  <to>
                    <xdr:col>17</xdr:col>
                    <xdr:colOff>25400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260A-56F2-4B6F-9CAA-891ABBAD0EF1}">
  <sheetPr codeName="Sheet2"/>
  <dimension ref="A1:H5"/>
  <sheetViews>
    <sheetView workbookViewId="0">
      <selection activeCell="K5" sqref="K5"/>
    </sheetView>
  </sheetViews>
  <sheetFormatPr baseColWidth="10" defaultColWidth="8.83203125" defaultRowHeight="15" x14ac:dyDescent="0.2"/>
  <cols>
    <col min="2" max="8" width="11.6640625" customWidth="1"/>
  </cols>
  <sheetData>
    <row r="1" spans="1:8" ht="33" thickBot="1" x14ac:dyDescent="0.25">
      <c r="A1" s="3" t="s">
        <v>15</v>
      </c>
      <c r="B1" s="4" t="s">
        <v>0</v>
      </c>
      <c r="C1" s="4" t="s">
        <v>16</v>
      </c>
      <c r="D1" s="4" t="s">
        <v>17</v>
      </c>
      <c r="E1" s="4" t="s">
        <v>1</v>
      </c>
      <c r="F1" s="4" t="s">
        <v>2</v>
      </c>
      <c r="G1" s="4" t="s">
        <v>18</v>
      </c>
      <c r="H1" s="4" t="s">
        <v>3</v>
      </c>
    </row>
    <row r="2" spans="1:8" ht="49" thickBot="1" x14ac:dyDescent="0.25">
      <c r="A2" s="5">
        <v>2</v>
      </c>
      <c r="B2" s="5" t="s">
        <v>19</v>
      </c>
      <c r="C2" s="5" t="s">
        <v>20</v>
      </c>
      <c r="D2" s="5" t="s">
        <v>21</v>
      </c>
      <c r="E2" s="5" t="s">
        <v>22</v>
      </c>
      <c r="F2" s="5" t="s">
        <v>23</v>
      </c>
      <c r="G2" s="5" t="s">
        <v>24</v>
      </c>
      <c r="H2" s="5" t="s">
        <v>25</v>
      </c>
    </row>
    <row r="3" spans="1:8" ht="33" thickBot="1" x14ac:dyDescent="0.25">
      <c r="A3" s="6">
        <v>1</v>
      </c>
      <c r="B3" s="6" t="s">
        <v>26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30</v>
      </c>
      <c r="H3" s="6" t="s">
        <v>31</v>
      </c>
    </row>
    <row r="4" spans="1:8" ht="33" thickBot="1" x14ac:dyDescent="0.25">
      <c r="A4" s="7">
        <v>0</v>
      </c>
      <c r="B4" s="8" t="s">
        <v>32</v>
      </c>
      <c r="C4" s="7" t="s">
        <v>33</v>
      </c>
      <c r="D4" s="7" t="s">
        <v>34</v>
      </c>
      <c r="E4" s="8"/>
      <c r="F4" s="7" t="s">
        <v>35</v>
      </c>
      <c r="G4" s="7" t="s">
        <v>36</v>
      </c>
      <c r="H4" s="7" t="s">
        <v>37</v>
      </c>
    </row>
    <row r="5" spans="1:8" ht="33" thickBot="1" x14ac:dyDescent="0.25">
      <c r="A5" s="9">
        <v>-1</v>
      </c>
      <c r="B5" s="9" t="s">
        <v>39</v>
      </c>
      <c r="C5" s="8"/>
      <c r="D5" s="9" t="s">
        <v>38</v>
      </c>
      <c r="E5" s="9" t="s">
        <v>40</v>
      </c>
      <c r="F5" s="10"/>
      <c r="G5" s="8"/>
      <c r="H5" s="8"/>
    </row>
  </sheetData>
  <pageMargins left="0.7" right="0.7" top="0.75" bottom="0.75" header="0.3" footer="0.3"/>
  <pageSetup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EC713D32D3BF44BA1A4B2F8F9D4D139" ma:contentTypeVersion="13" ma:contentTypeDescription="Create a new document." ma:contentTypeScope="" ma:versionID="284edcd8a2d56ed3c2c6086e378359f7">
  <xsd:schema xmlns:xsd="http://www.w3.org/2001/XMLSchema" xmlns:xs="http://www.w3.org/2001/XMLSchema" xmlns:p="http://schemas.microsoft.com/office/2006/metadata/properties" xmlns:ns3="0535c4c5-cd6a-476f-9797-7d1013f104fd" xmlns:ns4="8f8a9e71-2973-4dc4-9d73-dec5edd24d69" targetNamespace="http://schemas.microsoft.com/office/2006/metadata/properties" ma:root="true" ma:fieldsID="6540afb42c7faeda856a7a711ff2b32a" ns3:_="" ns4:_="">
    <xsd:import namespace="0535c4c5-cd6a-476f-9797-7d1013f104fd"/>
    <xsd:import namespace="8f8a9e71-2973-4dc4-9d73-dec5edd24d6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35c4c5-cd6a-476f-9797-7d1013f10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8a9e71-2973-4dc4-9d73-dec5edd24d6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A8E60D1-EB51-4E05-8EE2-E92354BC1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35c4c5-cd6a-476f-9797-7d1013f104fd"/>
    <ds:schemaRef ds:uri="8f8a9e71-2973-4dc4-9d73-dec5edd24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1DEF835-512E-4EF9-8BFC-45335D947BF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B37AD20-D37D-407B-9B57-12FF59F23A7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 Sheet</vt:lpstr>
      <vt:lpstr>Scoring 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Doersching</dc:creator>
  <cp:lastModifiedBy>Bell, Chad</cp:lastModifiedBy>
  <dcterms:created xsi:type="dcterms:W3CDTF">2020-10-09T13:48:56Z</dcterms:created>
  <dcterms:modified xsi:type="dcterms:W3CDTF">2023-02-26T02:47:54Z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0x0101004EC713D32D3BF44BA1A4B2F8F9D4D139</vt:lpwstr>
  </property>
</Properties>
</file>